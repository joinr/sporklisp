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9155" windowHeight="11790" tabRatio="799" firstSheet="3" activeTab="3"/>
  </bookViews>
  <sheets>
    <sheet name="Deployments" sheetId="43" r:id="rId1"/>
    <sheet name="EmpiricalSummary" sheetId="42" r:id="rId2"/>
    <sheet name="NominalSummary" sheetId="41" r:id="rId3"/>
    <sheet name="SporkLisp" sheetId="45" r:id="rId4"/>
  </sheets>
  <functionGroups/>
  <definedNames>
    <definedName name="TimeFinished">#REF!</definedName>
    <definedName name="TimeStart">#REF!</definedName>
  </definedNames>
  <calcPr calcId="125725"/>
</workbook>
</file>

<file path=xl/calcChain.xml><?xml version="1.0" encoding="utf-8"?>
<calcChain xmlns="http://schemas.openxmlformats.org/spreadsheetml/2006/main">
  <c r="C3" i="45"/>
  <c r="D3"/>
  <c r="D5"/>
  <c r="C2"/>
  <c r="C4"/>
  <c r="G2"/>
  <c r="C5"/>
  <c r="F2" s="1"/>
  <c r="D2"/>
  <c r="E2"/>
  <c r="D4"/>
</calcChain>
</file>

<file path=xl/sharedStrings.xml><?xml version="1.0" encoding="utf-8"?>
<sst xmlns="http://schemas.openxmlformats.org/spreadsheetml/2006/main" count="1309" uniqueCount="88">
  <si>
    <t>RCOpSus</t>
  </si>
  <si>
    <t>FFGACRoto</t>
  </si>
  <si>
    <t>Period</t>
  </si>
  <si>
    <t>Policy</t>
  </si>
  <si>
    <t>PreSurge</t>
  </si>
  <si>
    <t>Surge</t>
  </si>
  <si>
    <t>PostSurge</t>
  </si>
  <si>
    <t>SRC</t>
  </si>
  <si>
    <t>Component</t>
  </si>
  <si>
    <t>CycleTime</t>
  </si>
  <si>
    <t>Location</t>
  </si>
  <si>
    <t>NG</t>
  </si>
  <si>
    <t>AC</t>
  </si>
  <si>
    <t>SRC3</t>
  </si>
  <si>
    <t>DemandGroup</t>
  </si>
  <si>
    <t>Large</t>
  </si>
  <si>
    <t>Demand</t>
  </si>
  <si>
    <t>Avg Dwell to BOG</t>
  </si>
  <si>
    <t>DeploymentID</t>
  </si>
  <si>
    <t>DwellBeforeDeploy</t>
  </si>
  <si>
    <t>BogBudget</t>
  </si>
  <si>
    <t>DeployInterval</t>
  </si>
  <si>
    <t>DeployDate</t>
  </si>
  <si>
    <t>FillType</t>
  </si>
  <si>
    <t>FillCount</t>
  </si>
  <si>
    <t>UnitType</t>
  </si>
  <si>
    <t>DemandType</t>
  </si>
  <si>
    <t>Unit</t>
  </si>
  <si>
    <t>AtomicPolicy</t>
  </si>
  <si>
    <t>FillPath</t>
  </si>
  <si>
    <t>PathLength</t>
  </si>
  <si>
    <t>FollowOn</t>
  </si>
  <si>
    <t>FollowOnCount</t>
  </si>
  <si>
    <t>DeploymentCount</t>
  </si>
  <si>
    <t>Available</t>
  </si>
  <si>
    <t>2_R1_SRC3_[1...91]</t>
  </si>
  <si>
    <t>Primary</t>
  </si>
  <si>
    <t>UnGrouped</t>
  </si>
  <si>
    <t>30_SRC3_AC</t>
  </si>
  <si>
    <t>FILLRULE_SRC3-&gt;SRC3-&gt;SOURCE_SRC3-&gt;Filled</t>
  </si>
  <si>
    <t>29_SRC3_AC</t>
  </si>
  <si>
    <t>2_R2_SRC3_[1...2521]</t>
  </si>
  <si>
    <t>28_SRC3_AC</t>
  </si>
  <si>
    <t>OS_NotDeployable</t>
  </si>
  <si>
    <t>NotUtilized</t>
  </si>
  <si>
    <t>20_SRC3_NG</t>
  </si>
  <si>
    <t>Proxy</t>
  </si>
  <si>
    <t>19_SRC3_NG</t>
  </si>
  <si>
    <t>27_SRC3_AC</t>
  </si>
  <si>
    <t>18_SRC3_NG</t>
  </si>
  <si>
    <t>Available_NotDeployable</t>
  </si>
  <si>
    <t>26_SRC3_AC</t>
  </si>
  <si>
    <t>17_SRC3_NG</t>
  </si>
  <si>
    <t>25_SRC3_AC</t>
  </si>
  <si>
    <t>OS_Train</t>
  </si>
  <si>
    <t>1_SRC3_NG</t>
  </si>
  <si>
    <t>2_SRC3_NG</t>
  </si>
  <si>
    <t>3_SRC3_NG</t>
  </si>
  <si>
    <t>4_SRC3_NG</t>
  </si>
  <si>
    <t>OS_Ready</t>
  </si>
  <si>
    <t>5_SRC3_NG</t>
  </si>
  <si>
    <t>6_SRC3_NG</t>
  </si>
  <si>
    <t>7_SRC3_NG</t>
  </si>
  <si>
    <t>8_SRC3_NG</t>
  </si>
  <si>
    <t>9_SRC3_NG</t>
  </si>
  <si>
    <t>OS_Deployable</t>
  </si>
  <si>
    <t>10_SRC3_NG</t>
  </si>
  <si>
    <t>11_SRC3_NG</t>
  </si>
  <si>
    <t>12_SRC3_NG</t>
  </si>
  <si>
    <t>OS_Available</t>
  </si>
  <si>
    <t>13_SRC3_NG</t>
  </si>
  <si>
    <t>14_SRC3_NG</t>
  </si>
  <si>
    <t>15_SRC3_NG</t>
  </si>
  <si>
    <t>16_SRC3_NG</t>
  </si>
  <si>
    <t>21_SRC3_AC</t>
  </si>
  <si>
    <t>22_SRC3_AC</t>
  </si>
  <si>
    <t>23_SRC3_AC</t>
  </si>
  <si>
    <t>24_SRC3_AC</t>
  </si>
  <si>
    <t>1_R23_SRC3_[1051...1330]</t>
  </si>
  <si>
    <t>Ready_Deployable</t>
  </si>
  <si>
    <t>Final</t>
  </si>
  <si>
    <t>Total</t>
  </si>
  <si>
    <t>(fn (xs) (reduce + 0 (map inc xs)))</t>
  </si>
  <si>
    <t>(fn (xs) (first (map inc xs)))</t>
  </si>
  <si>
    <t>(fn (xs) (nth 2 (filter odd? xs)))</t>
  </si>
  <si>
    <t>(fn (x) (inc x))</t>
  </si>
  <si>
    <t>(fn (x) (if (&lt; x 3) false true))</t>
  </si>
  <si>
    <t>Samples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</si>
</sst>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7"/>
  <dimension ref="A1:W102"/>
  <sheetViews>
    <sheetView workbookViewId="0"/>
  </sheetViews>
  <sheetFormatPr defaultRowHeight="15"/>
  <sheetData>
    <row r="1" spans="1:23">
      <c r="A1" t="s">
        <v>18</v>
      </c>
      <c r="B1" t="s">
        <v>10</v>
      </c>
      <c r="C1" t="s">
        <v>16</v>
      </c>
      <c r="D1" t="s">
        <v>19</v>
      </c>
      <c r="E1" t="s">
        <v>20</v>
      </c>
      <c r="F1" t="s">
        <v>9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14</v>
      </c>
      <c r="N1" t="s">
        <v>27</v>
      </c>
      <c r="O1" t="s">
        <v>3</v>
      </c>
      <c r="P1" t="s">
        <v>28</v>
      </c>
      <c r="Q1" t="s">
        <v>8</v>
      </c>
      <c r="R1" t="s">
        <v>2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</row>
    <row r="2" spans="1:23">
      <c r="A2">
        <v>1</v>
      </c>
      <c r="B2" t="s">
        <v>34</v>
      </c>
      <c r="C2" t="s">
        <v>35</v>
      </c>
      <c r="D2">
        <v>658</v>
      </c>
      <c r="E2">
        <v>270</v>
      </c>
      <c r="F2">
        <v>658</v>
      </c>
      <c r="G2">
        <v>1</v>
      </c>
      <c r="H2" s="1">
        <v>41229</v>
      </c>
      <c r="I2" t="s">
        <v>36</v>
      </c>
      <c r="J2">
        <v>1</v>
      </c>
      <c r="K2" t="s">
        <v>13</v>
      </c>
      <c r="L2" t="s">
        <v>13</v>
      </c>
      <c r="M2" t="s">
        <v>37</v>
      </c>
      <c r="N2" t="s">
        <v>38</v>
      </c>
      <c r="O2" t="s">
        <v>1</v>
      </c>
      <c r="P2" t="s">
        <v>1</v>
      </c>
      <c r="Q2" t="s">
        <v>12</v>
      </c>
      <c r="R2" t="s">
        <v>4</v>
      </c>
      <c r="S2" t="s">
        <v>39</v>
      </c>
      <c r="T2">
        <v>0</v>
      </c>
      <c r="U2" t="b">
        <v>0</v>
      </c>
      <c r="V2">
        <v>0</v>
      </c>
      <c r="W2">
        <v>1</v>
      </c>
    </row>
    <row r="3" spans="1:23">
      <c r="A3">
        <v>2</v>
      </c>
      <c r="B3" t="s">
        <v>34</v>
      </c>
      <c r="C3" t="s">
        <v>35</v>
      </c>
      <c r="D3">
        <v>585</v>
      </c>
      <c r="E3">
        <v>270</v>
      </c>
      <c r="F3">
        <v>585</v>
      </c>
      <c r="G3">
        <v>1</v>
      </c>
      <c r="H3" s="1">
        <v>41229</v>
      </c>
      <c r="I3" t="s">
        <v>36</v>
      </c>
      <c r="J3">
        <v>2</v>
      </c>
      <c r="K3" t="s">
        <v>13</v>
      </c>
      <c r="L3" t="s">
        <v>13</v>
      </c>
      <c r="M3" t="s">
        <v>37</v>
      </c>
      <c r="N3" t="s">
        <v>40</v>
      </c>
      <c r="O3" t="s">
        <v>1</v>
      </c>
      <c r="P3" t="s">
        <v>1</v>
      </c>
      <c r="Q3" t="s">
        <v>12</v>
      </c>
      <c r="R3" t="s">
        <v>4</v>
      </c>
      <c r="S3" t="s">
        <v>39</v>
      </c>
      <c r="T3">
        <v>0</v>
      </c>
      <c r="U3" t="b">
        <v>0</v>
      </c>
      <c r="V3">
        <v>0</v>
      </c>
      <c r="W3">
        <v>1</v>
      </c>
    </row>
    <row r="4" spans="1:23">
      <c r="A4">
        <v>3</v>
      </c>
      <c r="B4" t="s">
        <v>34</v>
      </c>
      <c r="C4" t="s">
        <v>41</v>
      </c>
      <c r="D4">
        <v>512</v>
      </c>
      <c r="E4">
        <v>270</v>
      </c>
      <c r="F4">
        <v>512</v>
      </c>
      <c r="G4">
        <v>1</v>
      </c>
      <c r="H4" s="1">
        <v>41229</v>
      </c>
      <c r="I4" t="s">
        <v>36</v>
      </c>
      <c r="J4">
        <v>3</v>
      </c>
      <c r="K4" t="s">
        <v>13</v>
      </c>
      <c r="L4" t="s">
        <v>13</v>
      </c>
      <c r="M4" t="s">
        <v>37</v>
      </c>
      <c r="N4" t="s">
        <v>42</v>
      </c>
      <c r="O4" t="s">
        <v>1</v>
      </c>
      <c r="P4" t="s">
        <v>1</v>
      </c>
      <c r="Q4" t="s">
        <v>12</v>
      </c>
      <c r="R4" t="s">
        <v>4</v>
      </c>
      <c r="S4" t="s">
        <v>39</v>
      </c>
      <c r="T4">
        <v>0</v>
      </c>
      <c r="U4" t="b">
        <v>0</v>
      </c>
      <c r="V4">
        <v>0</v>
      </c>
      <c r="W4">
        <v>1</v>
      </c>
    </row>
    <row r="5" spans="1:23">
      <c r="A5">
        <v>4</v>
      </c>
      <c r="B5" t="s">
        <v>43</v>
      </c>
      <c r="C5" t="s">
        <v>44</v>
      </c>
      <c r="D5">
        <v>1825</v>
      </c>
      <c r="E5">
        <v>270</v>
      </c>
      <c r="F5">
        <v>1825</v>
      </c>
      <c r="G5">
        <v>96</v>
      </c>
      <c r="H5" s="1">
        <v>41324</v>
      </c>
      <c r="I5" t="s">
        <v>36</v>
      </c>
      <c r="J5">
        <v>4</v>
      </c>
      <c r="K5" t="s">
        <v>13</v>
      </c>
      <c r="L5" t="s">
        <v>13</v>
      </c>
      <c r="M5" t="s">
        <v>44</v>
      </c>
      <c r="N5" t="s">
        <v>45</v>
      </c>
      <c r="O5" t="s">
        <v>0</v>
      </c>
      <c r="P5" t="s">
        <v>0</v>
      </c>
      <c r="Q5" t="s">
        <v>11</v>
      </c>
      <c r="R5" t="s">
        <v>4</v>
      </c>
      <c r="S5" t="s">
        <v>46</v>
      </c>
      <c r="T5">
        <v>0</v>
      </c>
      <c r="U5" t="b">
        <v>0</v>
      </c>
      <c r="V5">
        <v>0</v>
      </c>
      <c r="W5">
        <v>0</v>
      </c>
    </row>
    <row r="6" spans="1:23">
      <c r="A6">
        <v>5</v>
      </c>
      <c r="B6" t="s">
        <v>43</v>
      </c>
      <c r="C6" t="s">
        <v>44</v>
      </c>
      <c r="D6">
        <v>1825</v>
      </c>
      <c r="E6">
        <v>270</v>
      </c>
      <c r="F6">
        <v>1825</v>
      </c>
      <c r="G6">
        <v>187</v>
      </c>
      <c r="H6" s="1">
        <v>41415</v>
      </c>
      <c r="I6" t="s">
        <v>36</v>
      </c>
      <c r="J6">
        <v>5</v>
      </c>
      <c r="K6" t="s">
        <v>13</v>
      </c>
      <c r="L6" t="s">
        <v>13</v>
      </c>
      <c r="M6" t="s">
        <v>44</v>
      </c>
      <c r="N6" t="s">
        <v>47</v>
      </c>
      <c r="O6" t="s">
        <v>0</v>
      </c>
      <c r="P6" t="s">
        <v>0</v>
      </c>
      <c r="Q6" t="s">
        <v>11</v>
      </c>
      <c r="R6" t="s">
        <v>4</v>
      </c>
      <c r="S6" t="s">
        <v>46</v>
      </c>
      <c r="T6">
        <v>0</v>
      </c>
      <c r="U6" t="b">
        <v>0</v>
      </c>
      <c r="V6">
        <v>0</v>
      </c>
      <c r="W6">
        <v>0</v>
      </c>
    </row>
    <row r="7" spans="1:23">
      <c r="A7">
        <v>4</v>
      </c>
      <c r="B7" t="s">
        <v>34</v>
      </c>
      <c r="C7" t="s">
        <v>41</v>
      </c>
      <c r="D7">
        <v>664</v>
      </c>
      <c r="E7">
        <v>270</v>
      </c>
      <c r="F7">
        <v>664</v>
      </c>
      <c r="G7">
        <v>226</v>
      </c>
      <c r="H7" s="1">
        <v>41454</v>
      </c>
      <c r="I7" t="s">
        <v>36</v>
      </c>
      <c r="J7">
        <v>6</v>
      </c>
      <c r="K7" t="s">
        <v>13</v>
      </c>
      <c r="L7" t="s">
        <v>13</v>
      </c>
      <c r="M7" t="s">
        <v>37</v>
      </c>
      <c r="N7" t="s">
        <v>48</v>
      </c>
      <c r="O7" t="s">
        <v>1</v>
      </c>
      <c r="P7" t="s">
        <v>1</v>
      </c>
      <c r="Q7" t="s">
        <v>12</v>
      </c>
      <c r="R7" t="s">
        <v>4</v>
      </c>
      <c r="S7" t="s">
        <v>39</v>
      </c>
      <c r="T7">
        <v>0</v>
      </c>
      <c r="U7" t="b">
        <v>0</v>
      </c>
      <c r="V7">
        <v>0</v>
      </c>
      <c r="W7">
        <v>1</v>
      </c>
    </row>
    <row r="8" spans="1:23">
      <c r="A8">
        <v>7</v>
      </c>
      <c r="B8" t="s">
        <v>43</v>
      </c>
      <c r="C8" t="s">
        <v>44</v>
      </c>
      <c r="D8">
        <v>1825</v>
      </c>
      <c r="E8">
        <v>270</v>
      </c>
      <c r="F8">
        <v>1825</v>
      </c>
      <c r="G8">
        <v>278</v>
      </c>
      <c r="H8" s="1">
        <v>41506</v>
      </c>
      <c r="I8" t="s">
        <v>36</v>
      </c>
      <c r="J8">
        <v>7</v>
      </c>
      <c r="K8" t="s">
        <v>13</v>
      </c>
      <c r="L8" t="s">
        <v>13</v>
      </c>
      <c r="M8" t="s">
        <v>44</v>
      </c>
      <c r="N8" t="s">
        <v>49</v>
      </c>
      <c r="O8" t="s">
        <v>0</v>
      </c>
      <c r="P8" t="s">
        <v>0</v>
      </c>
      <c r="Q8" t="s">
        <v>11</v>
      </c>
      <c r="R8" t="s">
        <v>4</v>
      </c>
      <c r="S8" t="s">
        <v>46</v>
      </c>
      <c r="T8">
        <v>0</v>
      </c>
      <c r="U8" t="b">
        <v>0</v>
      </c>
      <c r="V8">
        <v>0</v>
      </c>
      <c r="W8">
        <v>0</v>
      </c>
    </row>
    <row r="9" spans="1:23">
      <c r="A9">
        <v>8</v>
      </c>
      <c r="B9" t="s">
        <v>50</v>
      </c>
      <c r="C9" t="s">
        <v>44</v>
      </c>
      <c r="D9">
        <v>730</v>
      </c>
      <c r="E9">
        <v>270</v>
      </c>
      <c r="F9">
        <v>730</v>
      </c>
      <c r="G9">
        <v>365</v>
      </c>
      <c r="H9" s="1">
        <v>41593</v>
      </c>
      <c r="I9" t="s">
        <v>36</v>
      </c>
      <c r="J9">
        <v>8</v>
      </c>
      <c r="K9" t="s">
        <v>13</v>
      </c>
      <c r="L9" t="s">
        <v>13</v>
      </c>
      <c r="M9" t="s">
        <v>44</v>
      </c>
      <c r="N9" t="s">
        <v>51</v>
      </c>
      <c r="O9" t="s">
        <v>1</v>
      </c>
      <c r="P9" t="s">
        <v>1</v>
      </c>
      <c r="Q9" t="s">
        <v>12</v>
      </c>
      <c r="R9" t="s">
        <v>4</v>
      </c>
      <c r="S9" t="s">
        <v>46</v>
      </c>
      <c r="T9">
        <v>0</v>
      </c>
      <c r="U9" t="b">
        <v>0</v>
      </c>
      <c r="V9">
        <v>0</v>
      </c>
      <c r="W9">
        <v>0</v>
      </c>
    </row>
    <row r="10" spans="1:23">
      <c r="A10">
        <v>9</v>
      </c>
      <c r="B10" t="s">
        <v>43</v>
      </c>
      <c r="C10" t="s">
        <v>44</v>
      </c>
      <c r="D10">
        <v>1825</v>
      </c>
      <c r="E10">
        <v>270</v>
      </c>
      <c r="F10">
        <v>1825</v>
      </c>
      <c r="G10">
        <v>369</v>
      </c>
      <c r="H10" s="1">
        <v>41597</v>
      </c>
      <c r="I10" t="s">
        <v>36</v>
      </c>
      <c r="J10">
        <v>9</v>
      </c>
      <c r="K10" t="s">
        <v>13</v>
      </c>
      <c r="L10" t="s">
        <v>13</v>
      </c>
      <c r="M10" t="s">
        <v>44</v>
      </c>
      <c r="N10" t="s">
        <v>52</v>
      </c>
      <c r="O10" t="s">
        <v>0</v>
      </c>
      <c r="P10" t="s">
        <v>0</v>
      </c>
      <c r="Q10" t="s">
        <v>11</v>
      </c>
      <c r="R10" t="s">
        <v>4</v>
      </c>
      <c r="S10" t="s">
        <v>46</v>
      </c>
      <c r="T10">
        <v>0</v>
      </c>
      <c r="U10" t="b">
        <v>0</v>
      </c>
      <c r="V10">
        <v>0</v>
      </c>
      <c r="W10">
        <v>0</v>
      </c>
    </row>
    <row r="11" spans="1:23">
      <c r="A11">
        <v>10</v>
      </c>
      <c r="B11" t="s">
        <v>50</v>
      </c>
      <c r="C11" t="s">
        <v>44</v>
      </c>
      <c r="D11">
        <v>730</v>
      </c>
      <c r="E11">
        <v>270</v>
      </c>
      <c r="F11">
        <v>730</v>
      </c>
      <c r="G11">
        <v>438</v>
      </c>
      <c r="H11" s="1">
        <v>41666</v>
      </c>
      <c r="I11" t="s">
        <v>36</v>
      </c>
      <c r="J11">
        <v>10</v>
      </c>
      <c r="K11" t="s">
        <v>13</v>
      </c>
      <c r="L11" t="s">
        <v>13</v>
      </c>
      <c r="M11" t="s">
        <v>44</v>
      </c>
      <c r="N11" t="s">
        <v>53</v>
      </c>
      <c r="O11" t="s">
        <v>1</v>
      </c>
      <c r="P11" t="s">
        <v>1</v>
      </c>
      <c r="Q11" t="s">
        <v>12</v>
      </c>
      <c r="R11" t="s">
        <v>4</v>
      </c>
      <c r="S11" t="s">
        <v>46</v>
      </c>
      <c r="T11">
        <v>0</v>
      </c>
      <c r="U11" t="b">
        <v>0</v>
      </c>
      <c r="V11">
        <v>0</v>
      </c>
      <c r="W11">
        <v>0</v>
      </c>
    </row>
    <row r="12" spans="1:23">
      <c r="A12">
        <v>11</v>
      </c>
      <c r="B12" t="s">
        <v>54</v>
      </c>
      <c r="C12" t="s">
        <v>44</v>
      </c>
      <c r="D12">
        <v>451</v>
      </c>
      <c r="E12">
        <v>270</v>
      </c>
      <c r="F12">
        <v>451</v>
      </c>
      <c r="G12">
        <v>451</v>
      </c>
      <c r="H12" s="1">
        <v>41679</v>
      </c>
      <c r="I12" t="s">
        <v>36</v>
      </c>
      <c r="J12">
        <v>11</v>
      </c>
      <c r="K12" t="s">
        <v>13</v>
      </c>
      <c r="L12" t="s">
        <v>13</v>
      </c>
      <c r="M12" t="s">
        <v>44</v>
      </c>
      <c r="N12" t="s">
        <v>55</v>
      </c>
      <c r="O12" t="s">
        <v>0</v>
      </c>
      <c r="P12" t="s">
        <v>0</v>
      </c>
      <c r="Q12" t="s">
        <v>11</v>
      </c>
      <c r="R12" t="s">
        <v>4</v>
      </c>
      <c r="S12" t="s">
        <v>46</v>
      </c>
      <c r="T12">
        <v>0</v>
      </c>
      <c r="U12" t="b">
        <v>0</v>
      </c>
      <c r="V12">
        <v>0</v>
      </c>
      <c r="W12">
        <v>0</v>
      </c>
    </row>
    <row r="13" spans="1:23">
      <c r="A13">
        <v>12</v>
      </c>
      <c r="B13" t="s">
        <v>54</v>
      </c>
      <c r="C13" t="s">
        <v>44</v>
      </c>
      <c r="D13">
        <v>542</v>
      </c>
      <c r="E13">
        <v>270</v>
      </c>
      <c r="F13">
        <v>542</v>
      </c>
      <c r="G13">
        <v>451</v>
      </c>
      <c r="H13" s="1">
        <v>41679</v>
      </c>
      <c r="I13" t="s">
        <v>36</v>
      </c>
      <c r="J13">
        <v>12</v>
      </c>
      <c r="K13" t="s">
        <v>13</v>
      </c>
      <c r="L13" t="s">
        <v>13</v>
      </c>
      <c r="M13" t="s">
        <v>44</v>
      </c>
      <c r="N13" t="s">
        <v>56</v>
      </c>
      <c r="O13" t="s">
        <v>0</v>
      </c>
      <c r="P13" t="s">
        <v>0</v>
      </c>
      <c r="Q13" t="s">
        <v>11</v>
      </c>
      <c r="R13" t="s">
        <v>4</v>
      </c>
      <c r="S13" t="s">
        <v>46</v>
      </c>
      <c r="T13">
        <v>0</v>
      </c>
      <c r="U13" t="b">
        <v>0</v>
      </c>
      <c r="V13">
        <v>0</v>
      </c>
      <c r="W13">
        <v>0</v>
      </c>
    </row>
    <row r="14" spans="1:23">
      <c r="A14">
        <v>13</v>
      </c>
      <c r="B14" t="s">
        <v>54</v>
      </c>
      <c r="C14" t="s">
        <v>44</v>
      </c>
      <c r="D14">
        <v>633</v>
      </c>
      <c r="E14">
        <v>270</v>
      </c>
      <c r="F14">
        <v>633</v>
      </c>
      <c r="G14">
        <v>451</v>
      </c>
      <c r="H14" s="1">
        <v>41679</v>
      </c>
      <c r="I14" t="s">
        <v>36</v>
      </c>
      <c r="J14">
        <v>13</v>
      </c>
      <c r="K14" t="s">
        <v>13</v>
      </c>
      <c r="L14" t="s">
        <v>13</v>
      </c>
      <c r="M14" t="s">
        <v>44</v>
      </c>
      <c r="N14" t="s">
        <v>57</v>
      </c>
      <c r="O14" t="s">
        <v>0</v>
      </c>
      <c r="P14" t="s">
        <v>0</v>
      </c>
      <c r="Q14" t="s">
        <v>11</v>
      </c>
      <c r="R14" t="s">
        <v>4</v>
      </c>
      <c r="S14" t="s">
        <v>46</v>
      </c>
      <c r="T14">
        <v>0</v>
      </c>
      <c r="U14" t="b">
        <v>0</v>
      </c>
      <c r="V14">
        <v>0</v>
      </c>
      <c r="W14">
        <v>0</v>
      </c>
    </row>
    <row r="15" spans="1:23">
      <c r="A15">
        <v>14</v>
      </c>
      <c r="B15" t="s">
        <v>54</v>
      </c>
      <c r="C15" t="s">
        <v>44</v>
      </c>
      <c r="D15">
        <v>724</v>
      </c>
      <c r="E15">
        <v>270</v>
      </c>
      <c r="F15">
        <v>724</v>
      </c>
      <c r="G15">
        <v>451</v>
      </c>
      <c r="H15" s="1">
        <v>41679</v>
      </c>
      <c r="I15" t="s">
        <v>36</v>
      </c>
      <c r="J15">
        <v>14</v>
      </c>
      <c r="K15" t="s">
        <v>13</v>
      </c>
      <c r="L15" t="s">
        <v>13</v>
      </c>
      <c r="M15" t="s">
        <v>44</v>
      </c>
      <c r="N15" t="s">
        <v>58</v>
      </c>
      <c r="O15" t="s">
        <v>0</v>
      </c>
      <c r="P15" t="s">
        <v>0</v>
      </c>
      <c r="Q15" t="s">
        <v>11</v>
      </c>
      <c r="R15" t="s">
        <v>4</v>
      </c>
      <c r="S15" t="s">
        <v>46</v>
      </c>
      <c r="T15">
        <v>0</v>
      </c>
      <c r="U15" t="b">
        <v>0</v>
      </c>
      <c r="V15">
        <v>0</v>
      </c>
      <c r="W15">
        <v>0</v>
      </c>
    </row>
    <row r="16" spans="1:23">
      <c r="A16">
        <v>15</v>
      </c>
      <c r="B16" t="s">
        <v>59</v>
      </c>
      <c r="C16" t="s">
        <v>44</v>
      </c>
      <c r="D16">
        <v>815</v>
      </c>
      <c r="E16">
        <v>270</v>
      </c>
      <c r="F16">
        <v>815</v>
      </c>
      <c r="G16">
        <v>451</v>
      </c>
      <c r="H16" s="1">
        <v>41679</v>
      </c>
      <c r="I16" t="s">
        <v>36</v>
      </c>
      <c r="J16">
        <v>15</v>
      </c>
      <c r="K16" t="s">
        <v>13</v>
      </c>
      <c r="L16" t="s">
        <v>13</v>
      </c>
      <c r="M16" t="s">
        <v>44</v>
      </c>
      <c r="N16" t="s">
        <v>60</v>
      </c>
      <c r="O16" t="s">
        <v>0</v>
      </c>
      <c r="P16" t="s">
        <v>0</v>
      </c>
      <c r="Q16" t="s">
        <v>11</v>
      </c>
      <c r="R16" t="s">
        <v>4</v>
      </c>
      <c r="S16" t="s">
        <v>46</v>
      </c>
      <c r="T16">
        <v>0</v>
      </c>
      <c r="U16" t="b">
        <v>0</v>
      </c>
      <c r="V16">
        <v>0</v>
      </c>
      <c r="W16">
        <v>0</v>
      </c>
    </row>
    <row r="17" spans="1:23">
      <c r="A17">
        <v>16</v>
      </c>
      <c r="B17" t="s">
        <v>59</v>
      </c>
      <c r="C17" t="s">
        <v>44</v>
      </c>
      <c r="D17">
        <v>906</v>
      </c>
      <c r="E17">
        <v>270</v>
      </c>
      <c r="F17">
        <v>906</v>
      </c>
      <c r="G17">
        <v>451</v>
      </c>
      <c r="H17" s="1">
        <v>41679</v>
      </c>
      <c r="I17" t="s">
        <v>36</v>
      </c>
      <c r="J17">
        <v>16</v>
      </c>
      <c r="K17" t="s">
        <v>13</v>
      </c>
      <c r="L17" t="s">
        <v>13</v>
      </c>
      <c r="M17" t="s">
        <v>44</v>
      </c>
      <c r="N17" t="s">
        <v>61</v>
      </c>
      <c r="O17" t="s">
        <v>0</v>
      </c>
      <c r="P17" t="s">
        <v>0</v>
      </c>
      <c r="Q17" t="s">
        <v>11</v>
      </c>
      <c r="R17" t="s">
        <v>4</v>
      </c>
      <c r="S17" t="s">
        <v>46</v>
      </c>
      <c r="T17">
        <v>0</v>
      </c>
      <c r="U17" t="b">
        <v>0</v>
      </c>
      <c r="V17">
        <v>0</v>
      </c>
      <c r="W17">
        <v>0</v>
      </c>
    </row>
    <row r="18" spans="1:23">
      <c r="A18">
        <v>17</v>
      </c>
      <c r="B18" t="s">
        <v>59</v>
      </c>
      <c r="C18" t="s">
        <v>44</v>
      </c>
      <c r="D18">
        <v>997</v>
      </c>
      <c r="E18">
        <v>270</v>
      </c>
      <c r="F18">
        <v>997</v>
      </c>
      <c r="G18">
        <v>451</v>
      </c>
      <c r="H18" s="1">
        <v>41679</v>
      </c>
      <c r="I18" t="s">
        <v>36</v>
      </c>
      <c r="J18">
        <v>17</v>
      </c>
      <c r="K18" t="s">
        <v>13</v>
      </c>
      <c r="L18" t="s">
        <v>13</v>
      </c>
      <c r="M18" t="s">
        <v>44</v>
      </c>
      <c r="N18" t="s">
        <v>62</v>
      </c>
      <c r="O18" t="s">
        <v>0</v>
      </c>
      <c r="P18" t="s">
        <v>0</v>
      </c>
      <c r="Q18" t="s">
        <v>11</v>
      </c>
      <c r="R18" t="s">
        <v>4</v>
      </c>
      <c r="S18" t="s">
        <v>46</v>
      </c>
      <c r="T18">
        <v>0</v>
      </c>
      <c r="U18" t="b">
        <v>0</v>
      </c>
      <c r="V18">
        <v>0</v>
      </c>
      <c r="W18">
        <v>0</v>
      </c>
    </row>
    <row r="19" spans="1:23">
      <c r="A19">
        <v>18</v>
      </c>
      <c r="B19" t="s">
        <v>59</v>
      </c>
      <c r="C19" t="s">
        <v>44</v>
      </c>
      <c r="D19">
        <v>1088</v>
      </c>
      <c r="E19">
        <v>270</v>
      </c>
      <c r="F19">
        <v>1088</v>
      </c>
      <c r="G19">
        <v>451</v>
      </c>
      <c r="H19" s="1">
        <v>41679</v>
      </c>
      <c r="I19" t="s">
        <v>36</v>
      </c>
      <c r="J19">
        <v>18</v>
      </c>
      <c r="K19" t="s">
        <v>13</v>
      </c>
      <c r="L19" t="s">
        <v>13</v>
      </c>
      <c r="M19" t="s">
        <v>44</v>
      </c>
      <c r="N19" t="s">
        <v>63</v>
      </c>
      <c r="O19" t="s">
        <v>0</v>
      </c>
      <c r="P19" t="s">
        <v>0</v>
      </c>
      <c r="Q19" t="s">
        <v>11</v>
      </c>
      <c r="R19" t="s">
        <v>4</v>
      </c>
      <c r="S19" t="s">
        <v>46</v>
      </c>
      <c r="T19">
        <v>0</v>
      </c>
      <c r="U19" t="b">
        <v>0</v>
      </c>
      <c r="V19">
        <v>0</v>
      </c>
      <c r="W19">
        <v>0</v>
      </c>
    </row>
    <row r="20" spans="1:23">
      <c r="A20">
        <v>19</v>
      </c>
      <c r="B20" t="s">
        <v>59</v>
      </c>
      <c r="C20" t="s">
        <v>44</v>
      </c>
      <c r="D20">
        <v>1179</v>
      </c>
      <c r="E20">
        <v>270</v>
      </c>
      <c r="F20">
        <v>1179</v>
      </c>
      <c r="G20">
        <v>451</v>
      </c>
      <c r="H20" s="1">
        <v>41679</v>
      </c>
      <c r="I20" t="s">
        <v>36</v>
      </c>
      <c r="J20">
        <v>19</v>
      </c>
      <c r="K20" t="s">
        <v>13</v>
      </c>
      <c r="L20" t="s">
        <v>13</v>
      </c>
      <c r="M20" t="s">
        <v>44</v>
      </c>
      <c r="N20" t="s">
        <v>64</v>
      </c>
      <c r="O20" t="s">
        <v>0</v>
      </c>
      <c r="P20" t="s">
        <v>0</v>
      </c>
      <c r="Q20" t="s">
        <v>11</v>
      </c>
      <c r="R20" t="s">
        <v>4</v>
      </c>
      <c r="S20" t="s">
        <v>46</v>
      </c>
      <c r="T20">
        <v>0</v>
      </c>
      <c r="U20" t="b">
        <v>0</v>
      </c>
      <c r="V20">
        <v>0</v>
      </c>
      <c r="W20">
        <v>0</v>
      </c>
    </row>
    <row r="21" spans="1:23">
      <c r="A21">
        <v>20</v>
      </c>
      <c r="B21" t="s">
        <v>65</v>
      </c>
      <c r="C21" t="s">
        <v>44</v>
      </c>
      <c r="D21">
        <v>1270</v>
      </c>
      <c r="E21">
        <v>270</v>
      </c>
      <c r="F21">
        <v>1270</v>
      </c>
      <c r="G21">
        <v>451</v>
      </c>
      <c r="H21" s="1">
        <v>41679</v>
      </c>
      <c r="I21" t="s">
        <v>36</v>
      </c>
      <c r="J21">
        <v>20</v>
      </c>
      <c r="K21" t="s">
        <v>13</v>
      </c>
      <c r="L21" t="s">
        <v>13</v>
      </c>
      <c r="M21" t="s">
        <v>44</v>
      </c>
      <c r="N21" t="s">
        <v>66</v>
      </c>
      <c r="O21" t="s">
        <v>0</v>
      </c>
      <c r="P21" t="s">
        <v>0</v>
      </c>
      <c r="Q21" t="s">
        <v>11</v>
      </c>
      <c r="R21" t="s">
        <v>4</v>
      </c>
      <c r="S21" t="s">
        <v>46</v>
      </c>
      <c r="T21">
        <v>0</v>
      </c>
      <c r="U21" t="b">
        <v>0</v>
      </c>
      <c r="V21">
        <v>0</v>
      </c>
      <c r="W21">
        <v>0</v>
      </c>
    </row>
    <row r="22" spans="1:23">
      <c r="A22">
        <v>21</v>
      </c>
      <c r="B22" t="s">
        <v>65</v>
      </c>
      <c r="C22" t="s">
        <v>44</v>
      </c>
      <c r="D22">
        <v>1361</v>
      </c>
      <c r="E22">
        <v>270</v>
      </c>
      <c r="F22">
        <v>1361</v>
      </c>
      <c r="G22">
        <v>451</v>
      </c>
      <c r="H22" s="1">
        <v>41679</v>
      </c>
      <c r="I22" t="s">
        <v>36</v>
      </c>
      <c r="J22">
        <v>21</v>
      </c>
      <c r="K22" t="s">
        <v>13</v>
      </c>
      <c r="L22" t="s">
        <v>13</v>
      </c>
      <c r="M22" t="s">
        <v>44</v>
      </c>
      <c r="N22" t="s">
        <v>67</v>
      </c>
      <c r="O22" t="s">
        <v>0</v>
      </c>
      <c r="P22" t="s">
        <v>0</v>
      </c>
      <c r="Q22" t="s">
        <v>11</v>
      </c>
      <c r="R22" t="s">
        <v>4</v>
      </c>
      <c r="S22" t="s">
        <v>46</v>
      </c>
      <c r="T22">
        <v>0</v>
      </c>
      <c r="U22" t="b">
        <v>0</v>
      </c>
      <c r="V22">
        <v>0</v>
      </c>
      <c r="W22">
        <v>0</v>
      </c>
    </row>
    <row r="23" spans="1:23">
      <c r="A23">
        <v>22</v>
      </c>
      <c r="B23" t="s">
        <v>65</v>
      </c>
      <c r="C23" t="s">
        <v>44</v>
      </c>
      <c r="D23">
        <v>1452</v>
      </c>
      <c r="E23">
        <v>270</v>
      </c>
      <c r="F23">
        <v>1452</v>
      </c>
      <c r="G23">
        <v>451</v>
      </c>
      <c r="H23" s="1">
        <v>41679</v>
      </c>
      <c r="I23" t="s">
        <v>36</v>
      </c>
      <c r="J23">
        <v>22</v>
      </c>
      <c r="K23" t="s">
        <v>13</v>
      </c>
      <c r="L23" t="s">
        <v>13</v>
      </c>
      <c r="M23" t="s">
        <v>44</v>
      </c>
      <c r="N23" t="s">
        <v>68</v>
      </c>
      <c r="O23" t="s">
        <v>0</v>
      </c>
      <c r="P23" t="s">
        <v>0</v>
      </c>
      <c r="Q23" t="s">
        <v>11</v>
      </c>
      <c r="R23" t="s">
        <v>4</v>
      </c>
      <c r="S23" t="s">
        <v>46</v>
      </c>
      <c r="T23">
        <v>0</v>
      </c>
      <c r="U23" t="b">
        <v>0</v>
      </c>
      <c r="V23">
        <v>0</v>
      </c>
      <c r="W23">
        <v>0</v>
      </c>
    </row>
    <row r="24" spans="1:23">
      <c r="A24">
        <v>23</v>
      </c>
      <c r="B24" t="s">
        <v>69</v>
      </c>
      <c r="C24" t="s">
        <v>44</v>
      </c>
      <c r="D24">
        <v>1543</v>
      </c>
      <c r="E24">
        <v>270</v>
      </c>
      <c r="F24">
        <v>1543</v>
      </c>
      <c r="G24">
        <v>451</v>
      </c>
      <c r="H24" s="1">
        <v>41679</v>
      </c>
      <c r="I24" t="s">
        <v>36</v>
      </c>
      <c r="J24">
        <v>23</v>
      </c>
      <c r="K24" t="s">
        <v>13</v>
      </c>
      <c r="L24" t="s">
        <v>13</v>
      </c>
      <c r="M24" t="s">
        <v>44</v>
      </c>
      <c r="N24" t="s">
        <v>70</v>
      </c>
      <c r="O24" t="s">
        <v>0</v>
      </c>
      <c r="P24" t="s">
        <v>0</v>
      </c>
      <c r="Q24" t="s">
        <v>11</v>
      </c>
      <c r="R24" t="s">
        <v>4</v>
      </c>
      <c r="S24" t="s">
        <v>46</v>
      </c>
      <c r="T24">
        <v>0</v>
      </c>
      <c r="U24" t="b">
        <v>0</v>
      </c>
      <c r="V24">
        <v>0</v>
      </c>
      <c r="W24">
        <v>0</v>
      </c>
    </row>
    <row r="25" spans="1:23">
      <c r="A25">
        <v>24</v>
      </c>
      <c r="B25" t="s">
        <v>69</v>
      </c>
      <c r="C25" t="s">
        <v>44</v>
      </c>
      <c r="D25">
        <v>1634</v>
      </c>
      <c r="E25">
        <v>270</v>
      </c>
      <c r="F25">
        <v>1634</v>
      </c>
      <c r="G25">
        <v>451</v>
      </c>
      <c r="H25" s="1">
        <v>41679</v>
      </c>
      <c r="I25" t="s">
        <v>36</v>
      </c>
      <c r="J25">
        <v>24</v>
      </c>
      <c r="K25" t="s">
        <v>13</v>
      </c>
      <c r="L25" t="s">
        <v>13</v>
      </c>
      <c r="M25" t="s">
        <v>44</v>
      </c>
      <c r="N25" t="s">
        <v>71</v>
      </c>
      <c r="O25" t="s">
        <v>0</v>
      </c>
      <c r="P25" t="s">
        <v>0</v>
      </c>
      <c r="Q25" t="s">
        <v>11</v>
      </c>
      <c r="R25" t="s">
        <v>4</v>
      </c>
      <c r="S25" t="s">
        <v>46</v>
      </c>
      <c r="T25">
        <v>0</v>
      </c>
      <c r="U25" t="b">
        <v>0</v>
      </c>
      <c r="V25">
        <v>0</v>
      </c>
      <c r="W25">
        <v>0</v>
      </c>
    </row>
    <row r="26" spans="1:23">
      <c r="A26">
        <v>25</v>
      </c>
      <c r="B26" t="s">
        <v>69</v>
      </c>
      <c r="C26" t="s">
        <v>44</v>
      </c>
      <c r="D26">
        <v>1725</v>
      </c>
      <c r="E26">
        <v>270</v>
      </c>
      <c r="F26">
        <v>1725</v>
      </c>
      <c r="G26">
        <v>451</v>
      </c>
      <c r="H26" s="1">
        <v>41679</v>
      </c>
      <c r="I26" t="s">
        <v>36</v>
      </c>
      <c r="J26">
        <v>25</v>
      </c>
      <c r="K26" t="s">
        <v>13</v>
      </c>
      <c r="L26" t="s">
        <v>13</v>
      </c>
      <c r="M26" t="s">
        <v>44</v>
      </c>
      <c r="N26" t="s">
        <v>72</v>
      </c>
      <c r="O26" t="s">
        <v>0</v>
      </c>
      <c r="P26" t="s">
        <v>0</v>
      </c>
      <c r="Q26" t="s">
        <v>11</v>
      </c>
      <c r="R26" t="s">
        <v>4</v>
      </c>
      <c r="S26" t="s">
        <v>46</v>
      </c>
      <c r="T26">
        <v>0</v>
      </c>
      <c r="U26" t="b">
        <v>0</v>
      </c>
      <c r="V26">
        <v>0</v>
      </c>
      <c r="W26">
        <v>0</v>
      </c>
    </row>
    <row r="27" spans="1:23">
      <c r="A27">
        <v>26</v>
      </c>
      <c r="B27" t="s">
        <v>43</v>
      </c>
      <c r="C27" t="s">
        <v>44</v>
      </c>
      <c r="D27">
        <v>1816</v>
      </c>
      <c r="E27">
        <v>270</v>
      </c>
      <c r="F27">
        <v>1816</v>
      </c>
      <c r="G27">
        <v>451</v>
      </c>
      <c r="H27" s="1">
        <v>41679</v>
      </c>
      <c r="I27" t="s">
        <v>36</v>
      </c>
      <c r="J27">
        <v>26</v>
      </c>
      <c r="K27" t="s">
        <v>13</v>
      </c>
      <c r="L27" t="s">
        <v>13</v>
      </c>
      <c r="M27" t="s">
        <v>44</v>
      </c>
      <c r="N27" t="s">
        <v>73</v>
      </c>
      <c r="O27" t="s">
        <v>0</v>
      </c>
      <c r="P27" t="s">
        <v>0</v>
      </c>
      <c r="Q27" t="s">
        <v>11</v>
      </c>
      <c r="R27" t="s">
        <v>4</v>
      </c>
      <c r="S27" t="s">
        <v>46</v>
      </c>
      <c r="T27">
        <v>0</v>
      </c>
      <c r="U27" t="b">
        <v>0</v>
      </c>
      <c r="V27">
        <v>0</v>
      </c>
      <c r="W27">
        <v>0</v>
      </c>
    </row>
    <row r="28" spans="1:23">
      <c r="A28">
        <v>27</v>
      </c>
      <c r="B28" t="s">
        <v>34</v>
      </c>
      <c r="C28" t="s">
        <v>44</v>
      </c>
      <c r="D28">
        <v>451</v>
      </c>
      <c r="E28">
        <v>270</v>
      </c>
      <c r="F28">
        <v>451</v>
      </c>
      <c r="G28">
        <v>451</v>
      </c>
      <c r="H28" s="1">
        <v>41679</v>
      </c>
      <c r="I28" t="s">
        <v>36</v>
      </c>
      <c r="J28">
        <v>27</v>
      </c>
      <c r="K28" t="s">
        <v>13</v>
      </c>
      <c r="L28" t="s">
        <v>13</v>
      </c>
      <c r="M28" t="s">
        <v>44</v>
      </c>
      <c r="N28" t="s">
        <v>74</v>
      </c>
      <c r="O28" t="s">
        <v>1</v>
      </c>
      <c r="P28" t="s">
        <v>1</v>
      </c>
      <c r="Q28" t="s">
        <v>12</v>
      </c>
      <c r="R28" t="s">
        <v>4</v>
      </c>
      <c r="S28" t="s">
        <v>46</v>
      </c>
      <c r="T28">
        <v>0</v>
      </c>
      <c r="U28" t="b">
        <v>0</v>
      </c>
      <c r="V28">
        <v>0</v>
      </c>
      <c r="W28">
        <v>0</v>
      </c>
    </row>
    <row r="29" spans="1:23">
      <c r="A29">
        <v>28</v>
      </c>
      <c r="B29" t="s">
        <v>34</v>
      </c>
      <c r="C29" t="s">
        <v>44</v>
      </c>
      <c r="D29">
        <v>524</v>
      </c>
      <c r="E29">
        <v>270</v>
      </c>
      <c r="F29">
        <v>524</v>
      </c>
      <c r="G29">
        <v>451</v>
      </c>
      <c r="H29" s="1">
        <v>41679</v>
      </c>
      <c r="I29" t="s">
        <v>36</v>
      </c>
      <c r="J29">
        <v>28</v>
      </c>
      <c r="K29" t="s">
        <v>13</v>
      </c>
      <c r="L29" t="s">
        <v>13</v>
      </c>
      <c r="M29" t="s">
        <v>44</v>
      </c>
      <c r="N29" t="s">
        <v>75</v>
      </c>
      <c r="O29" t="s">
        <v>1</v>
      </c>
      <c r="P29" t="s">
        <v>1</v>
      </c>
      <c r="Q29" t="s">
        <v>12</v>
      </c>
      <c r="R29" t="s">
        <v>4</v>
      </c>
      <c r="S29" t="s">
        <v>46</v>
      </c>
      <c r="T29">
        <v>0</v>
      </c>
      <c r="U29" t="b">
        <v>0</v>
      </c>
      <c r="V29">
        <v>0</v>
      </c>
      <c r="W29">
        <v>0</v>
      </c>
    </row>
    <row r="30" spans="1:23">
      <c r="A30">
        <v>29</v>
      </c>
      <c r="B30" t="s">
        <v>34</v>
      </c>
      <c r="C30" t="s">
        <v>44</v>
      </c>
      <c r="D30">
        <v>597</v>
      </c>
      <c r="E30">
        <v>270</v>
      </c>
      <c r="F30">
        <v>597</v>
      </c>
      <c r="G30">
        <v>451</v>
      </c>
      <c r="H30" s="1">
        <v>41679</v>
      </c>
      <c r="I30" t="s">
        <v>36</v>
      </c>
      <c r="J30">
        <v>29</v>
      </c>
      <c r="K30" t="s">
        <v>13</v>
      </c>
      <c r="L30" t="s">
        <v>13</v>
      </c>
      <c r="M30" t="s">
        <v>44</v>
      </c>
      <c r="N30" t="s">
        <v>76</v>
      </c>
      <c r="O30" t="s">
        <v>1</v>
      </c>
      <c r="P30" t="s">
        <v>1</v>
      </c>
      <c r="Q30" t="s">
        <v>12</v>
      </c>
      <c r="R30" t="s">
        <v>4</v>
      </c>
      <c r="S30" t="s">
        <v>46</v>
      </c>
      <c r="T30">
        <v>0</v>
      </c>
      <c r="U30" t="b">
        <v>0</v>
      </c>
      <c r="V30">
        <v>0</v>
      </c>
      <c r="W30">
        <v>0</v>
      </c>
    </row>
    <row r="31" spans="1:23">
      <c r="A31">
        <v>30</v>
      </c>
      <c r="B31" t="s">
        <v>34</v>
      </c>
      <c r="C31" t="s">
        <v>44</v>
      </c>
      <c r="D31">
        <v>670</v>
      </c>
      <c r="E31">
        <v>270</v>
      </c>
      <c r="F31">
        <v>670</v>
      </c>
      <c r="G31">
        <v>451</v>
      </c>
      <c r="H31" s="1">
        <v>41679</v>
      </c>
      <c r="I31" t="s">
        <v>36</v>
      </c>
      <c r="J31">
        <v>30</v>
      </c>
      <c r="K31" t="s">
        <v>13</v>
      </c>
      <c r="L31" t="s">
        <v>13</v>
      </c>
      <c r="M31" t="s">
        <v>44</v>
      </c>
      <c r="N31" t="s">
        <v>77</v>
      </c>
      <c r="O31" t="s">
        <v>1</v>
      </c>
      <c r="P31" t="s">
        <v>1</v>
      </c>
      <c r="Q31" t="s">
        <v>12</v>
      </c>
      <c r="R31" t="s">
        <v>4</v>
      </c>
      <c r="S31" t="s">
        <v>46</v>
      </c>
      <c r="T31">
        <v>0</v>
      </c>
      <c r="U31" t="b">
        <v>0</v>
      </c>
      <c r="V31">
        <v>0</v>
      </c>
      <c r="W31">
        <v>0</v>
      </c>
    </row>
    <row r="32" spans="1:23">
      <c r="A32">
        <v>5</v>
      </c>
      <c r="B32" t="s">
        <v>34</v>
      </c>
      <c r="C32" t="s">
        <v>41</v>
      </c>
      <c r="D32">
        <v>670</v>
      </c>
      <c r="E32">
        <v>270</v>
      </c>
      <c r="F32">
        <v>670</v>
      </c>
      <c r="G32">
        <v>451</v>
      </c>
      <c r="H32" s="1">
        <v>41679</v>
      </c>
      <c r="I32" t="s">
        <v>36</v>
      </c>
      <c r="J32">
        <v>31</v>
      </c>
      <c r="K32" t="s">
        <v>13</v>
      </c>
      <c r="L32" t="s">
        <v>13</v>
      </c>
      <c r="M32" t="s">
        <v>37</v>
      </c>
      <c r="N32" t="s">
        <v>77</v>
      </c>
      <c r="O32" t="s">
        <v>1</v>
      </c>
      <c r="P32" t="s">
        <v>1</v>
      </c>
      <c r="Q32" t="s">
        <v>12</v>
      </c>
      <c r="R32" t="s">
        <v>5</v>
      </c>
      <c r="S32" t="s">
        <v>39</v>
      </c>
      <c r="T32">
        <v>0</v>
      </c>
      <c r="U32" t="b">
        <v>0</v>
      </c>
      <c r="V32">
        <v>0</v>
      </c>
      <c r="W32">
        <v>1</v>
      </c>
    </row>
    <row r="33" spans="1:23">
      <c r="A33">
        <v>32</v>
      </c>
      <c r="B33" t="s">
        <v>43</v>
      </c>
      <c r="C33" t="s">
        <v>44</v>
      </c>
      <c r="D33">
        <v>1825</v>
      </c>
      <c r="E33">
        <v>270</v>
      </c>
      <c r="F33">
        <v>1825</v>
      </c>
      <c r="G33">
        <v>460</v>
      </c>
      <c r="H33" s="1">
        <v>41688</v>
      </c>
      <c r="I33" t="s">
        <v>36</v>
      </c>
      <c r="J33">
        <v>32</v>
      </c>
      <c r="K33" t="s">
        <v>13</v>
      </c>
      <c r="L33" t="s">
        <v>13</v>
      </c>
      <c r="M33" t="s">
        <v>44</v>
      </c>
      <c r="N33" t="s">
        <v>73</v>
      </c>
      <c r="O33" t="s">
        <v>0</v>
      </c>
      <c r="P33" t="s">
        <v>0</v>
      </c>
      <c r="Q33" t="s">
        <v>11</v>
      </c>
      <c r="R33" t="s">
        <v>5</v>
      </c>
      <c r="S33" t="s">
        <v>46</v>
      </c>
      <c r="T33">
        <v>0</v>
      </c>
      <c r="U33" t="b">
        <v>0</v>
      </c>
      <c r="V33">
        <v>0</v>
      </c>
      <c r="W33">
        <v>0</v>
      </c>
    </row>
    <row r="34" spans="1:23">
      <c r="A34">
        <v>33</v>
      </c>
      <c r="B34" t="s">
        <v>43</v>
      </c>
      <c r="C34" t="s">
        <v>44</v>
      </c>
      <c r="D34">
        <v>1825</v>
      </c>
      <c r="E34">
        <v>270</v>
      </c>
      <c r="F34">
        <v>1825</v>
      </c>
      <c r="G34">
        <v>551</v>
      </c>
      <c r="H34" s="1">
        <v>41779</v>
      </c>
      <c r="I34" t="s">
        <v>36</v>
      </c>
      <c r="J34">
        <v>33</v>
      </c>
      <c r="K34" t="s">
        <v>13</v>
      </c>
      <c r="L34" t="s">
        <v>13</v>
      </c>
      <c r="M34" t="s">
        <v>44</v>
      </c>
      <c r="N34" t="s">
        <v>72</v>
      </c>
      <c r="O34" t="s">
        <v>0</v>
      </c>
      <c r="P34" t="s">
        <v>0</v>
      </c>
      <c r="Q34" t="s">
        <v>11</v>
      </c>
      <c r="R34" t="s">
        <v>5</v>
      </c>
      <c r="S34" t="s">
        <v>46</v>
      </c>
      <c r="T34">
        <v>0</v>
      </c>
      <c r="U34" t="b">
        <v>0</v>
      </c>
      <c r="V34">
        <v>0</v>
      </c>
      <c r="W34">
        <v>0</v>
      </c>
    </row>
    <row r="35" spans="1:23">
      <c r="A35">
        <v>34</v>
      </c>
      <c r="B35" t="s">
        <v>50</v>
      </c>
      <c r="C35" t="s">
        <v>44</v>
      </c>
      <c r="D35">
        <v>730</v>
      </c>
      <c r="E35">
        <v>270</v>
      </c>
      <c r="F35">
        <v>730</v>
      </c>
      <c r="G35">
        <v>584</v>
      </c>
      <c r="H35" s="1">
        <v>41812</v>
      </c>
      <c r="I35" t="s">
        <v>36</v>
      </c>
      <c r="J35">
        <v>34</v>
      </c>
      <c r="K35" t="s">
        <v>13</v>
      </c>
      <c r="L35" t="s">
        <v>13</v>
      </c>
      <c r="M35" t="s">
        <v>44</v>
      </c>
      <c r="N35" t="s">
        <v>76</v>
      </c>
      <c r="O35" t="s">
        <v>1</v>
      </c>
      <c r="P35" t="s">
        <v>1</v>
      </c>
      <c r="Q35" t="s">
        <v>12</v>
      </c>
      <c r="R35" t="s">
        <v>5</v>
      </c>
      <c r="S35" t="s">
        <v>46</v>
      </c>
      <c r="T35">
        <v>0</v>
      </c>
      <c r="U35" t="b">
        <v>0</v>
      </c>
      <c r="V35">
        <v>0</v>
      </c>
      <c r="W35">
        <v>0</v>
      </c>
    </row>
    <row r="36" spans="1:23">
      <c r="A36">
        <v>35</v>
      </c>
      <c r="B36" t="s">
        <v>43</v>
      </c>
      <c r="C36" t="s">
        <v>44</v>
      </c>
      <c r="D36">
        <v>1825</v>
      </c>
      <c r="E36">
        <v>270</v>
      </c>
      <c r="F36">
        <v>1825</v>
      </c>
      <c r="G36">
        <v>642</v>
      </c>
      <c r="H36" s="1">
        <v>41870</v>
      </c>
      <c r="I36" t="s">
        <v>36</v>
      </c>
      <c r="J36">
        <v>35</v>
      </c>
      <c r="K36" t="s">
        <v>13</v>
      </c>
      <c r="L36" t="s">
        <v>13</v>
      </c>
      <c r="M36" t="s">
        <v>44</v>
      </c>
      <c r="N36" t="s">
        <v>71</v>
      </c>
      <c r="O36" t="s">
        <v>0</v>
      </c>
      <c r="P36" t="s">
        <v>0</v>
      </c>
      <c r="Q36" t="s">
        <v>11</v>
      </c>
      <c r="R36" t="s">
        <v>5</v>
      </c>
      <c r="S36" t="s">
        <v>46</v>
      </c>
      <c r="T36">
        <v>0</v>
      </c>
      <c r="U36" t="b">
        <v>0</v>
      </c>
      <c r="V36">
        <v>0</v>
      </c>
      <c r="W36">
        <v>0</v>
      </c>
    </row>
    <row r="37" spans="1:23">
      <c r="A37">
        <v>36</v>
      </c>
      <c r="B37" t="s">
        <v>50</v>
      </c>
      <c r="C37" t="s">
        <v>44</v>
      </c>
      <c r="D37">
        <v>730</v>
      </c>
      <c r="E37">
        <v>270</v>
      </c>
      <c r="F37">
        <v>730</v>
      </c>
      <c r="G37">
        <v>657</v>
      </c>
      <c r="H37" s="1">
        <v>41885</v>
      </c>
      <c r="I37" t="s">
        <v>36</v>
      </c>
      <c r="J37">
        <v>36</v>
      </c>
      <c r="K37" t="s">
        <v>13</v>
      </c>
      <c r="L37" t="s">
        <v>13</v>
      </c>
      <c r="M37" t="s">
        <v>44</v>
      </c>
      <c r="N37" t="s">
        <v>75</v>
      </c>
      <c r="O37" t="s">
        <v>1</v>
      </c>
      <c r="P37" t="s">
        <v>1</v>
      </c>
      <c r="Q37" t="s">
        <v>12</v>
      </c>
      <c r="R37" t="s">
        <v>5</v>
      </c>
      <c r="S37" t="s">
        <v>46</v>
      </c>
      <c r="T37">
        <v>0</v>
      </c>
      <c r="U37" t="b">
        <v>0</v>
      </c>
      <c r="V37">
        <v>0</v>
      </c>
      <c r="W37">
        <v>0</v>
      </c>
    </row>
    <row r="38" spans="1:23">
      <c r="A38">
        <v>6</v>
      </c>
      <c r="B38" t="s">
        <v>34</v>
      </c>
      <c r="C38" t="s">
        <v>41</v>
      </c>
      <c r="D38">
        <v>676</v>
      </c>
      <c r="E38">
        <v>270</v>
      </c>
      <c r="F38">
        <v>676</v>
      </c>
      <c r="G38">
        <v>676</v>
      </c>
      <c r="H38" s="1">
        <v>41904</v>
      </c>
      <c r="I38" t="s">
        <v>36</v>
      </c>
      <c r="J38">
        <v>37</v>
      </c>
      <c r="K38" t="s">
        <v>13</v>
      </c>
      <c r="L38" t="s">
        <v>13</v>
      </c>
      <c r="M38" t="s">
        <v>37</v>
      </c>
      <c r="N38" t="s">
        <v>74</v>
      </c>
      <c r="O38" t="s">
        <v>1</v>
      </c>
      <c r="P38" t="s">
        <v>1</v>
      </c>
      <c r="Q38" t="s">
        <v>12</v>
      </c>
      <c r="R38" t="s">
        <v>5</v>
      </c>
      <c r="S38" t="s">
        <v>39</v>
      </c>
      <c r="T38">
        <v>0</v>
      </c>
      <c r="U38" t="b">
        <v>0</v>
      </c>
      <c r="V38">
        <v>0</v>
      </c>
      <c r="W38">
        <v>1</v>
      </c>
    </row>
    <row r="39" spans="1:23">
      <c r="A39">
        <v>38</v>
      </c>
      <c r="B39" t="s">
        <v>43</v>
      </c>
      <c r="C39" t="s">
        <v>44</v>
      </c>
      <c r="D39">
        <v>1825</v>
      </c>
      <c r="E39">
        <v>270</v>
      </c>
      <c r="F39">
        <v>1825</v>
      </c>
      <c r="G39">
        <v>733</v>
      </c>
      <c r="H39" s="1">
        <v>41961</v>
      </c>
      <c r="I39" t="s">
        <v>36</v>
      </c>
      <c r="J39">
        <v>38</v>
      </c>
      <c r="K39" t="s">
        <v>13</v>
      </c>
      <c r="L39" t="s">
        <v>13</v>
      </c>
      <c r="M39" t="s">
        <v>44</v>
      </c>
      <c r="N39" t="s">
        <v>70</v>
      </c>
      <c r="O39" t="s">
        <v>0</v>
      </c>
      <c r="P39" t="s">
        <v>0</v>
      </c>
      <c r="Q39" t="s">
        <v>11</v>
      </c>
      <c r="R39" t="s">
        <v>5</v>
      </c>
      <c r="S39" t="s">
        <v>46</v>
      </c>
      <c r="T39">
        <v>0</v>
      </c>
      <c r="U39" t="b">
        <v>0</v>
      </c>
      <c r="V39">
        <v>0</v>
      </c>
      <c r="W39">
        <v>0</v>
      </c>
    </row>
    <row r="40" spans="1:23">
      <c r="A40">
        <v>39</v>
      </c>
      <c r="B40" t="s">
        <v>50</v>
      </c>
      <c r="C40" t="s">
        <v>44</v>
      </c>
      <c r="D40">
        <v>730</v>
      </c>
      <c r="E40">
        <v>270</v>
      </c>
      <c r="F40">
        <v>730</v>
      </c>
      <c r="G40">
        <v>821</v>
      </c>
      <c r="H40" s="1">
        <v>42049</v>
      </c>
      <c r="I40" t="s">
        <v>36</v>
      </c>
      <c r="J40">
        <v>39</v>
      </c>
      <c r="K40" t="s">
        <v>13</v>
      </c>
      <c r="L40" t="s">
        <v>13</v>
      </c>
      <c r="M40" t="s">
        <v>44</v>
      </c>
      <c r="N40" t="s">
        <v>38</v>
      </c>
      <c r="O40" t="s">
        <v>1</v>
      </c>
      <c r="P40" t="s">
        <v>1</v>
      </c>
      <c r="Q40" t="s">
        <v>12</v>
      </c>
      <c r="R40" t="s">
        <v>5</v>
      </c>
      <c r="S40" t="s">
        <v>46</v>
      </c>
      <c r="T40">
        <v>0</v>
      </c>
      <c r="U40" t="b">
        <v>0</v>
      </c>
      <c r="V40">
        <v>0</v>
      </c>
      <c r="W40">
        <v>0</v>
      </c>
    </row>
    <row r="41" spans="1:23">
      <c r="A41">
        <v>40</v>
      </c>
      <c r="B41" t="s">
        <v>43</v>
      </c>
      <c r="C41" t="s">
        <v>44</v>
      </c>
      <c r="D41">
        <v>1825</v>
      </c>
      <c r="E41">
        <v>270</v>
      </c>
      <c r="F41">
        <v>1825</v>
      </c>
      <c r="G41">
        <v>824</v>
      </c>
      <c r="H41" s="1">
        <v>42052</v>
      </c>
      <c r="I41" t="s">
        <v>36</v>
      </c>
      <c r="J41">
        <v>40</v>
      </c>
      <c r="K41" t="s">
        <v>13</v>
      </c>
      <c r="L41" t="s">
        <v>13</v>
      </c>
      <c r="M41" t="s">
        <v>44</v>
      </c>
      <c r="N41" t="s">
        <v>68</v>
      </c>
      <c r="O41" t="s">
        <v>0</v>
      </c>
      <c r="P41" t="s">
        <v>0</v>
      </c>
      <c r="Q41" t="s">
        <v>11</v>
      </c>
      <c r="R41" t="s">
        <v>5</v>
      </c>
      <c r="S41" t="s">
        <v>46</v>
      </c>
      <c r="T41">
        <v>0</v>
      </c>
      <c r="U41" t="b">
        <v>0</v>
      </c>
      <c r="V41">
        <v>0</v>
      </c>
      <c r="W41">
        <v>0</v>
      </c>
    </row>
    <row r="42" spans="1:23">
      <c r="A42">
        <v>41</v>
      </c>
      <c r="B42" t="s">
        <v>50</v>
      </c>
      <c r="C42" t="s">
        <v>44</v>
      </c>
      <c r="D42">
        <v>730</v>
      </c>
      <c r="E42">
        <v>270</v>
      </c>
      <c r="F42">
        <v>730</v>
      </c>
      <c r="G42">
        <v>876</v>
      </c>
      <c r="H42" s="1">
        <v>42104</v>
      </c>
      <c r="I42" t="s">
        <v>36</v>
      </c>
      <c r="J42">
        <v>41</v>
      </c>
      <c r="K42" t="s">
        <v>13</v>
      </c>
      <c r="L42" t="s">
        <v>13</v>
      </c>
      <c r="M42" t="s">
        <v>44</v>
      </c>
      <c r="N42" t="s">
        <v>40</v>
      </c>
      <c r="O42" t="s">
        <v>1</v>
      </c>
      <c r="P42" t="s">
        <v>1</v>
      </c>
      <c r="Q42" t="s">
        <v>12</v>
      </c>
      <c r="R42" t="s">
        <v>5</v>
      </c>
      <c r="S42" t="s">
        <v>46</v>
      </c>
      <c r="T42">
        <v>0</v>
      </c>
      <c r="U42" t="b">
        <v>0</v>
      </c>
      <c r="V42">
        <v>0</v>
      </c>
      <c r="W42">
        <v>0</v>
      </c>
    </row>
    <row r="43" spans="1:23">
      <c r="A43">
        <v>7</v>
      </c>
      <c r="B43" t="s">
        <v>34</v>
      </c>
      <c r="C43" t="s">
        <v>41</v>
      </c>
      <c r="D43">
        <v>463</v>
      </c>
      <c r="E43">
        <v>270</v>
      </c>
      <c r="F43">
        <v>463</v>
      </c>
      <c r="G43">
        <v>901</v>
      </c>
      <c r="H43" s="1">
        <v>42129</v>
      </c>
      <c r="I43" t="s">
        <v>36</v>
      </c>
      <c r="J43">
        <v>42</v>
      </c>
      <c r="K43" t="s">
        <v>13</v>
      </c>
      <c r="L43" t="s">
        <v>13</v>
      </c>
      <c r="M43" t="s">
        <v>37</v>
      </c>
      <c r="N43" t="s">
        <v>53</v>
      </c>
      <c r="O43" t="s">
        <v>1</v>
      </c>
      <c r="P43" t="s">
        <v>1</v>
      </c>
      <c r="Q43" t="s">
        <v>12</v>
      </c>
      <c r="R43" t="s">
        <v>5</v>
      </c>
      <c r="S43" t="s">
        <v>39</v>
      </c>
      <c r="T43">
        <v>0</v>
      </c>
      <c r="U43" t="b">
        <v>0</v>
      </c>
      <c r="V43">
        <v>0</v>
      </c>
      <c r="W43">
        <v>1</v>
      </c>
    </row>
    <row r="44" spans="1:23">
      <c r="A44">
        <v>43</v>
      </c>
      <c r="B44" t="s">
        <v>43</v>
      </c>
      <c r="C44" t="s">
        <v>44</v>
      </c>
      <c r="D44">
        <v>1825</v>
      </c>
      <c r="E44">
        <v>270</v>
      </c>
      <c r="F44">
        <v>1825</v>
      </c>
      <c r="G44">
        <v>915</v>
      </c>
      <c r="H44" s="1">
        <v>42143</v>
      </c>
      <c r="I44" t="s">
        <v>36</v>
      </c>
      <c r="J44">
        <v>43</v>
      </c>
      <c r="K44" t="s">
        <v>13</v>
      </c>
      <c r="L44" t="s">
        <v>13</v>
      </c>
      <c r="M44" t="s">
        <v>44</v>
      </c>
      <c r="N44" t="s">
        <v>67</v>
      </c>
      <c r="O44" t="s">
        <v>0</v>
      </c>
      <c r="P44" t="s">
        <v>0</v>
      </c>
      <c r="Q44" t="s">
        <v>11</v>
      </c>
      <c r="R44" t="s">
        <v>5</v>
      </c>
      <c r="S44" t="s">
        <v>46</v>
      </c>
      <c r="T44">
        <v>0</v>
      </c>
      <c r="U44" t="b">
        <v>0</v>
      </c>
      <c r="V44">
        <v>0</v>
      </c>
      <c r="W44">
        <v>0</v>
      </c>
    </row>
    <row r="45" spans="1:23">
      <c r="A45">
        <v>44</v>
      </c>
      <c r="B45" t="s">
        <v>59</v>
      </c>
      <c r="C45" t="s">
        <v>44</v>
      </c>
      <c r="D45">
        <v>992</v>
      </c>
      <c r="E45">
        <v>270</v>
      </c>
      <c r="F45">
        <v>992</v>
      </c>
      <c r="G45">
        <v>992</v>
      </c>
      <c r="H45" s="1">
        <v>42220</v>
      </c>
      <c r="I45" t="s">
        <v>36</v>
      </c>
      <c r="J45">
        <v>44</v>
      </c>
      <c r="K45" t="s">
        <v>13</v>
      </c>
      <c r="L45" t="s">
        <v>13</v>
      </c>
      <c r="M45" t="s">
        <v>44</v>
      </c>
      <c r="N45" t="s">
        <v>55</v>
      </c>
      <c r="O45" t="s">
        <v>0</v>
      </c>
      <c r="P45" t="s">
        <v>0</v>
      </c>
      <c r="Q45" t="s">
        <v>11</v>
      </c>
      <c r="R45" t="s">
        <v>5</v>
      </c>
      <c r="S45" t="s">
        <v>46</v>
      </c>
      <c r="T45">
        <v>0</v>
      </c>
      <c r="U45" t="b">
        <v>0</v>
      </c>
      <c r="V45">
        <v>0</v>
      </c>
      <c r="W45">
        <v>0</v>
      </c>
    </row>
    <row r="46" spans="1:23">
      <c r="A46">
        <v>45</v>
      </c>
      <c r="B46" t="s">
        <v>59</v>
      </c>
      <c r="C46" t="s">
        <v>44</v>
      </c>
      <c r="D46">
        <v>1083</v>
      </c>
      <c r="E46">
        <v>270</v>
      </c>
      <c r="F46">
        <v>1083</v>
      </c>
      <c r="G46">
        <v>992</v>
      </c>
      <c r="H46" s="1">
        <v>42220</v>
      </c>
      <c r="I46" t="s">
        <v>36</v>
      </c>
      <c r="J46">
        <v>45</v>
      </c>
      <c r="K46" t="s">
        <v>13</v>
      </c>
      <c r="L46" t="s">
        <v>13</v>
      </c>
      <c r="M46" t="s">
        <v>44</v>
      </c>
      <c r="N46" t="s">
        <v>56</v>
      </c>
      <c r="O46" t="s">
        <v>0</v>
      </c>
      <c r="P46" t="s">
        <v>0</v>
      </c>
      <c r="Q46" t="s">
        <v>11</v>
      </c>
      <c r="R46" t="s">
        <v>5</v>
      </c>
      <c r="S46" t="s">
        <v>46</v>
      </c>
      <c r="T46">
        <v>0</v>
      </c>
      <c r="U46" t="b">
        <v>0</v>
      </c>
      <c r="V46">
        <v>0</v>
      </c>
      <c r="W46">
        <v>0</v>
      </c>
    </row>
    <row r="47" spans="1:23">
      <c r="A47">
        <v>46</v>
      </c>
      <c r="B47" t="s">
        <v>59</v>
      </c>
      <c r="C47" t="s">
        <v>44</v>
      </c>
      <c r="D47">
        <v>1174</v>
      </c>
      <c r="E47">
        <v>270</v>
      </c>
      <c r="F47">
        <v>1174</v>
      </c>
      <c r="G47">
        <v>992</v>
      </c>
      <c r="H47" s="1">
        <v>42220</v>
      </c>
      <c r="I47" t="s">
        <v>36</v>
      </c>
      <c r="J47">
        <v>46</v>
      </c>
      <c r="K47" t="s">
        <v>13</v>
      </c>
      <c r="L47" t="s">
        <v>13</v>
      </c>
      <c r="M47" t="s">
        <v>44</v>
      </c>
      <c r="N47" t="s">
        <v>57</v>
      </c>
      <c r="O47" t="s">
        <v>0</v>
      </c>
      <c r="P47" t="s">
        <v>0</v>
      </c>
      <c r="Q47" t="s">
        <v>11</v>
      </c>
      <c r="R47" t="s">
        <v>5</v>
      </c>
      <c r="S47" t="s">
        <v>46</v>
      </c>
      <c r="T47">
        <v>0</v>
      </c>
      <c r="U47" t="b">
        <v>0</v>
      </c>
      <c r="V47">
        <v>0</v>
      </c>
      <c r="W47">
        <v>0</v>
      </c>
    </row>
    <row r="48" spans="1:23">
      <c r="A48">
        <v>47</v>
      </c>
      <c r="B48" t="s">
        <v>65</v>
      </c>
      <c r="C48" t="s">
        <v>44</v>
      </c>
      <c r="D48">
        <v>1265</v>
      </c>
      <c r="E48">
        <v>270</v>
      </c>
      <c r="F48">
        <v>1265</v>
      </c>
      <c r="G48">
        <v>992</v>
      </c>
      <c r="H48" s="1">
        <v>42220</v>
      </c>
      <c r="I48" t="s">
        <v>36</v>
      </c>
      <c r="J48">
        <v>47</v>
      </c>
      <c r="K48" t="s">
        <v>13</v>
      </c>
      <c r="L48" t="s">
        <v>13</v>
      </c>
      <c r="M48" t="s">
        <v>44</v>
      </c>
      <c r="N48" t="s">
        <v>58</v>
      </c>
      <c r="O48" t="s">
        <v>0</v>
      </c>
      <c r="P48" t="s">
        <v>0</v>
      </c>
      <c r="Q48" t="s">
        <v>11</v>
      </c>
      <c r="R48" t="s">
        <v>5</v>
      </c>
      <c r="S48" t="s">
        <v>46</v>
      </c>
      <c r="T48">
        <v>0</v>
      </c>
      <c r="U48" t="b">
        <v>0</v>
      </c>
      <c r="V48">
        <v>0</v>
      </c>
      <c r="W48">
        <v>0</v>
      </c>
    </row>
    <row r="49" spans="1:23">
      <c r="A49">
        <v>48</v>
      </c>
      <c r="B49" t="s">
        <v>65</v>
      </c>
      <c r="C49" t="s">
        <v>44</v>
      </c>
      <c r="D49">
        <v>1356</v>
      </c>
      <c r="E49">
        <v>270</v>
      </c>
      <c r="F49">
        <v>1356</v>
      </c>
      <c r="G49">
        <v>992</v>
      </c>
      <c r="H49" s="1">
        <v>42220</v>
      </c>
      <c r="I49" t="s">
        <v>36</v>
      </c>
      <c r="J49">
        <v>48</v>
      </c>
      <c r="K49" t="s">
        <v>13</v>
      </c>
      <c r="L49" t="s">
        <v>13</v>
      </c>
      <c r="M49" t="s">
        <v>44</v>
      </c>
      <c r="N49" t="s">
        <v>60</v>
      </c>
      <c r="O49" t="s">
        <v>0</v>
      </c>
      <c r="P49" t="s">
        <v>0</v>
      </c>
      <c r="Q49" t="s">
        <v>11</v>
      </c>
      <c r="R49" t="s">
        <v>5</v>
      </c>
      <c r="S49" t="s">
        <v>46</v>
      </c>
      <c r="T49">
        <v>0</v>
      </c>
      <c r="U49" t="b">
        <v>0</v>
      </c>
      <c r="V49">
        <v>0</v>
      </c>
      <c r="W49">
        <v>0</v>
      </c>
    </row>
    <row r="50" spans="1:23">
      <c r="A50">
        <v>49</v>
      </c>
      <c r="B50" t="s">
        <v>65</v>
      </c>
      <c r="C50" t="s">
        <v>44</v>
      </c>
      <c r="D50">
        <v>1447</v>
      </c>
      <c r="E50">
        <v>270</v>
      </c>
      <c r="F50">
        <v>1447</v>
      </c>
      <c r="G50">
        <v>992</v>
      </c>
      <c r="H50" s="1">
        <v>42220</v>
      </c>
      <c r="I50" t="s">
        <v>36</v>
      </c>
      <c r="J50">
        <v>49</v>
      </c>
      <c r="K50" t="s">
        <v>13</v>
      </c>
      <c r="L50" t="s">
        <v>13</v>
      </c>
      <c r="M50" t="s">
        <v>44</v>
      </c>
      <c r="N50" t="s">
        <v>61</v>
      </c>
      <c r="O50" t="s">
        <v>0</v>
      </c>
      <c r="P50" t="s">
        <v>0</v>
      </c>
      <c r="Q50" t="s">
        <v>11</v>
      </c>
      <c r="R50" t="s">
        <v>5</v>
      </c>
      <c r="S50" t="s">
        <v>46</v>
      </c>
      <c r="T50">
        <v>0</v>
      </c>
      <c r="U50" t="b">
        <v>0</v>
      </c>
      <c r="V50">
        <v>0</v>
      </c>
      <c r="W50">
        <v>0</v>
      </c>
    </row>
    <row r="51" spans="1:23">
      <c r="A51">
        <v>50</v>
      </c>
      <c r="B51" t="s">
        <v>69</v>
      </c>
      <c r="C51" t="s">
        <v>44</v>
      </c>
      <c r="D51">
        <v>1538</v>
      </c>
      <c r="E51">
        <v>270</v>
      </c>
      <c r="F51">
        <v>1538</v>
      </c>
      <c r="G51">
        <v>992</v>
      </c>
      <c r="H51" s="1">
        <v>42220</v>
      </c>
      <c r="I51" t="s">
        <v>36</v>
      </c>
      <c r="J51">
        <v>50</v>
      </c>
      <c r="K51" t="s">
        <v>13</v>
      </c>
      <c r="L51" t="s">
        <v>13</v>
      </c>
      <c r="M51" t="s">
        <v>44</v>
      </c>
      <c r="N51" t="s">
        <v>62</v>
      </c>
      <c r="O51" t="s">
        <v>0</v>
      </c>
      <c r="P51" t="s">
        <v>0</v>
      </c>
      <c r="Q51" t="s">
        <v>11</v>
      </c>
      <c r="R51" t="s">
        <v>5</v>
      </c>
      <c r="S51" t="s">
        <v>46</v>
      </c>
      <c r="T51">
        <v>0</v>
      </c>
      <c r="U51" t="b">
        <v>0</v>
      </c>
      <c r="V51">
        <v>0</v>
      </c>
      <c r="W51">
        <v>0</v>
      </c>
    </row>
    <row r="52" spans="1:23">
      <c r="A52">
        <v>51</v>
      </c>
      <c r="B52" t="s">
        <v>69</v>
      </c>
      <c r="C52" t="s">
        <v>44</v>
      </c>
      <c r="D52">
        <v>1629</v>
      </c>
      <c r="E52">
        <v>270</v>
      </c>
      <c r="F52">
        <v>1629</v>
      </c>
      <c r="G52">
        <v>992</v>
      </c>
      <c r="H52" s="1">
        <v>42220</v>
      </c>
      <c r="I52" t="s">
        <v>36</v>
      </c>
      <c r="J52">
        <v>51</v>
      </c>
      <c r="K52" t="s">
        <v>13</v>
      </c>
      <c r="L52" t="s">
        <v>13</v>
      </c>
      <c r="M52" t="s">
        <v>44</v>
      </c>
      <c r="N52" t="s">
        <v>63</v>
      </c>
      <c r="O52" t="s">
        <v>0</v>
      </c>
      <c r="P52" t="s">
        <v>0</v>
      </c>
      <c r="Q52" t="s">
        <v>11</v>
      </c>
      <c r="R52" t="s">
        <v>5</v>
      </c>
      <c r="S52" t="s">
        <v>46</v>
      </c>
      <c r="T52">
        <v>0</v>
      </c>
      <c r="U52" t="b">
        <v>0</v>
      </c>
      <c r="V52">
        <v>0</v>
      </c>
      <c r="W52">
        <v>0</v>
      </c>
    </row>
    <row r="53" spans="1:23">
      <c r="A53">
        <v>52</v>
      </c>
      <c r="B53" t="s">
        <v>69</v>
      </c>
      <c r="C53" t="s">
        <v>44</v>
      </c>
      <c r="D53">
        <v>1720</v>
      </c>
      <c r="E53">
        <v>270</v>
      </c>
      <c r="F53">
        <v>1720</v>
      </c>
      <c r="G53">
        <v>992</v>
      </c>
      <c r="H53" s="1">
        <v>42220</v>
      </c>
      <c r="I53" t="s">
        <v>36</v>
      </c>
      <c r="J53">
        <v>52</v>
      </c>
      <c r="K53" t="s">
        <v>13</v>
      </c>
      <c r="L53" t="s">
        <v>13</v>
      </c>
      <c r="M53" t="s">
        <v>44</v>
      </c>
      <c r="N53" t="s">
        <v>64</v>
      </c>
      <c r="O53" t="s">
        <v>0</v>
      </c>
      <c r="P53" t="s">
        <v>0</v>
      </c>
      <c r="Q53" t="s">
        <v>11</v>
      </c>
      <c r="R53" t="s">
        <v>5</v>
      </c>
      <c r="S53" t="s">
        <v>46</v>
      </c>
      <c r="T53">
        <v>0</v>
      </c>
      <c r="U53" t="b">
        <v>0</v>
      </c>
      <c r="V53">
        <v>0</v>
      </c>
      <c r="W53">
        <v>0</v>
      </c>
    </row>
    <row r="54" spans="1:23">
      <c r="A54">
        <v>53</v>
      </c>
      <c r="B54" t="s">
        <v>43</v>
      </c>
      <c r="C54" t="s">
        <v>44</v>
      </c>
      <c r="D54">
        <v>1811</v>
      </c>
      <c r="E54">
        <v>270</v>
      </c>
      <c r="F54">
        <v>1811</v>
      </c>
      <c r="G54">
        <v>992</v>
      </c>
      <c r="H54" s="1">
        <v>42220</v>
      </c>
      <c r="I54" t="s">
        <v>36</v>
      </c>
      <c r="J54">
        <v>53</v>
      </c>
      <c r="K54" t="s">
        <v>13</v>
      </c>
      <c r="L54" t="s">
        <v>13</v>
      </c>
      <c r="M54" t="s">
        <v>44</v>
      </c>
      <c r="N54" t="s">
        <v>66</v>
      </c>
      <c r="O54" t="s">
        <v>0</v>
      </c>
      <c r="P54" t="s">
        <v>0</v>
      </c>
      <c r="Q54" t="s">
        <v>11</v>
      </c>
      <c r="R54" t="s">
        <v>5</v>
      </c>
      <c r="S54" t="s">
        <v>46</v>
      </c>
      <c r="T54">
        <v>0</v>
      </c>
      <c r="U54" t="b">
        <v>0</v>
      </c>
      <c r="V54">
        <v>0</v>
      </c>
      <c r="W54">
        <v>0</v>
      </c>
    </row>
    <row r="55" spans="1:23">
      <c r="A55">
        <v>54</v>
      </c>
      <c r="B55" t="s">
        <v>54</v>
      </c>
      <c r="C55" t="s">
        <v>44</v>
      </c>
      <c r="D55">
        <v>623</v>
      </c>
      <c r="E55">
        <v>270</v>
      </c>
      <c r="F55">
        <v>623</v>
      </c>
      <c r="G55">
        <v>992</v>
      </c>
      <c r="H55" s="1">
        <v>42220</v>
      </c>
      <c r="I55" t="s">
        <v>36</v>
      </c>
      <c r="J55">
        <v>54</v>
      </c>
      <c r="K55" t="s">
        <v>13</v>
      </c>
      <c r="L55" t="s">
        <v>13</v>
      </c>
      <c r="M55" t="s">
        <v>44</v>
      </c>
      <c r="N55" t="s">
        <v>52</v>
      </c>
      <c r="O55" t="s">
        <v>0</v>
      </c>
      <c r="P55" t="s">
        <v>0</v>
      </c>
      <c r="Q55" t="s">
        <v>11</v>
      </c>
      <c r="R55" t="s">
        <v>5</v>
      </c>
      <c r="S55" t="s">
        <v>46</v>
      </c>
      <c r="T55">
        <v>0</v>
      </c>
      <c r="U55" t="b">
        <v>0</v>
      </c>
      <c r="V55">
        <v>0</v>
      </c>
      <c r="W55">
        <v>0</v>
      </c>
    </row>
    <row r="56" spans="1:23">
      <c r="A56">
        <v>55</v>
      </c>
      <c r="B56" t="s">
        <v>54</v>
      </c>
      <c r="C56" t="s">
        <v>44</v>
      </c>
      <c r="D56">
        <v>714</v>
      </c>
      <c r="E56">
        <v>270</v>
      </c>
      <c r="F56">
        <v>714</v>
      </c>
      <c r="G56">
        <v>992</v>
      </c>
      <c r="H56" s="1">
        <v>42220</v>
      </c>
      <c r="I56" t="s">
        <v>36</v>
      </c>
      <c r="J56">
        <v>55</v>
      </c>
      <c r="K56" t="s">
        <v>13</v>
      </c>
      <c r="L56" t="s">
        <v>13</v>
      </c>
      <c r="M56" t="s">
        <v>44</v>
      </c>
      <c r="N56" t="s">
        <v>49</v>
      </c>
      <c r="O56" t="s">
        <v>0</v>
      </c>
      <c r="P56" t="s">
        <v>0</v>
      </c>
      <c r="Q56" t="s">
        <v>11</v>
      </c>
      <c r="R56" t="s">
        <v>5</v>
      </c>
      <c r="S56" t="s">
        <v>46</v>
      </c>
      <c r="T56">
        <v>0</v>
      </c>
      <c r="U56" t="b">
        <v>0</v>
      </c>
      <c r="V56">
        <v>0</v>
      </c>
      <c r="W56">
        <v>0</v>
      </c>
    </row>
    <row r="57" spans="1:23">
      <c r="A57">
        <v>56</v>
      </c>
      <c r="B57" t="s">
        <v>59</v>
      </c>
      <c r="C57" t="s">
        <v>44</v>
      </c>
      <c r="D57">
        <v>805</v>
      </c>
      <c r="E57">
        <v>270</v>
      </c>
      <c r="F57">
        <v>805</v>
      </c>
      <c r="G57">
        <v>992</v>
      </c>
      <c r="H57" s="1">
        <v>42220</v>
      </c>
      <c r="I57" t="s">
        <v>36</v>
      </c>
      <c r="J57">
        <v>56</v>
      </c>
      <c r="K57" t="s">
        <v>13</v>
      </c>
      <c r="L57" t="s">
        <v>13</v>
      </c>
      <c r="M57" t="s">
        <v>44</v>
      </c>
      <c r="N57" t="s">
        <v>47</v>
      </c>
      <c r="O57" t="s">
        <v>0</v>
      </c>
      <c r="P57" t="s">
        <v>0</v>
      </c>
      <c r="Q57" t="s">
        <v>11</v>
      </c>
      <c r="R57" t="s">
        <v>5</v>
      </c>
      <c r="S57" t="s">
        <v>46</v>
      </c>
      <c r="T57">
        <v>0</v>
      </c>
      <c r="U57" t="b">
        <v>0</v>
      </c>
      <c r="V57">
        <v>0</v>
      </c>
      <c r="W57">
        <v>0</v>
      </c>
    </row>
    <row r="58" spans="1:23">
      <c r="A58">
        <v>57</v>
      </c>
      <c r="B58" t="s">
        <v>59</v>
      </c>
      <c r="C58" t="s">
        <v>44</v>
      </c>
      <c r="D58">
        <v>896</v>
      </c>
      <c r="E58">
        <v>270</v>
      </c>
      <c r="F58">
        <v>896</v>
      </c>
      <c r="G58">
        <v>992</v>
      </c>
      <c r="H58" s="1">
        <v>42220</v>
      </c>
      <c r="I58" t="s">
        <v>36</v>
      </c>
      <c r="J58">
        <v>57</v>
      </c>
      <c r="K58" t="s">
        <v>13</v>
      </c>
      <c r="L58" t="s">
        <v>13</v>
      </c>
      <c r="M58" t="s">
        <v>44</v>
      </c>
      <c r="N58" t="s">
        <v>45</v>
      </c>
      <c r="O58" t="s">
        <v>0</v>
      </c>
      <c r="P58" t="s">
        <v>0</v>
      </c>
      <c r="Q58" t="s">
        <v>11</v>
      </c>
      <c r="R58" t="s">
        <v>5</v>
      </c>
      <c r="S58" t="s">
        <v>46</v>
      </c>
      <c r="T58">
        <v>0</v>
      </c>
      <c r="U58" t="b">
        <v>0</v>
      </c>
      <c r="V58">
        <v>0</v>
      </c>
      <c r="W58">
        <v>0</v>
      </c>
    </row>
    <row r="59" spans="1:23">
      <c r="A59">
        <v>58</v>
      </c>
      <c r="B59" t="s">
        <v>34</v>
      </c>
      <c r="C59" t="s">
        <v>44</v>
      </c>
      <c r="D59">
        <v>627</v>
      </c>
      <c r="E59">
        <v>270</v>
      </c>
      <c r="F59">
        <v>627</v>
      </c>
      <c r="G59">
        <v>992</v>
      </c>
      <c r="H59" s="1">
        <v>42220</v>
      </c>
      <c r="I59" t="s">
        <v>36</v>
      </c>
      <c r="J59">
        <v>58</v>
      </c>
      <c r="K59" t="s">
        <v>13</v>
      </c>
      <c r="L59" t="s">
        <v>13</v>
      </c>
      <c r="M59" t="s">
        <v>44</v>
      </c>
      <c r="N59" t="s">
        <v>51</v>
      </c>
      <c r="O59" t="s">
        <v>1</v>
      </c>
      <c r="P59" t="s">
        <v>1</v>
      </c>
      <c r="Q59" t="s">
        <v>12</v>
      </c>
      <c r="R59" t="s">
        <v>5</v>
      </c>
      <c r="S59" t="s">
        <v>46</v>
      </c>
      <c r="T59">
        <v>0</v>
      </c>
      <c r="U59" t="b">
        <v>0</v>
      </c>
      <c r="V59">
        <v>0</v>
      </c>
      <c r="W59">
        <v>0</v>
      </c>
    </row>
    <row r="60" spans="1:23">
      <c r="A60">
        <v>59</v>
      </c>
      <c r="B60" t="s">
        <v>34</v>
      </c>
      <c r="C60" t="s">
        <v>44</v>
      </c>
      <c r="D60">
        <v>721</v>
      </c>
      <c r="E60">
        <v>270</v>
      </c>
      <c r="F60">
        <v>721</v>
      </c>
      <c r="G60">
        <v>992</v>
      </c>
      <c r="H60" s="1">
        <v>42220</v>
      </c>
      <c r="I60" t="s">
        <v>36</v>
      </c>
      <c r="J60">
        <v>59</v>
      </c>
      <c r="K60" t="s">
        <v>13</v>
      </c>
      <c r="L60" t="s">
        <v>13</v>
      </c>
      <c r="M60" t="s">
        <v>44</v>
      </c>
      <c r="N60" t="s">
        <v>42</v>
      </c>
      <c r="O60" t="s">
        <v>1</v>
      </c>
      <c r="P60" t="s">
        <v>1</v>
      </c>
      <c r="Q60" t="s">
        <v>12</v>
      </c>
      <c r="R60" t="s">
        <v>5</v>
      </c>
      <c r="S60" t="s">
        <v>46</v>
      </c>
      <c r="T60">
        <v>0</v>
      </c>
      <c r="U60" t="b">
        <v>0</v>
      </c>
      <c r="V60">
        <v>0</v>
      </c>
      <c r="W60">
        <v>0</v>
      </c>
    </row>
    <row r="61" spans="1:23">
      <c r="A61">
        <v>60</v>
      </c>
      <c r="B61" t="s">
        <v>50</v>
      </c>
      <c r="C61" t="s">
        <v>44</v>
      </c>
      <c r="D61">
        <v>730</v>
      </c>
      <c r="E61">
        <v>270</v>
      </c>
      <c r="F61">
        <v>730</v>
      </c>
      <c r="G61">
        <v>1001</v>
      </c>
      <c r="H61" s="1">
        <v>42229</v>
      </c>
      <c r="I61" t="s">
        <v>36</v>
      </c>
      <c r="J61">
        <v>60</v>
      </c>
      <c r="K61" t="s">
        <v>13</v>
      </c>
      <c r="L61" t="s">
        <v>13</v>
      </c>
      <c r="M61" t="s">
        <v>44</v>
      </c>
      <c r="N61" t="s">
        <v>42</v>
      </c>
      <c r="O61" t="s">
        <v>1</v>
      </c>
      <c r="P61" t="s">
        <v>1</v>
      </c>
      <c r="Q61" t="s">
        <v>12</v>
      </c>
      <c r="R61" t="s">
        <v>6</v>
      </c>
      <c r="S61" t="s">
        <v>46</v>
      </c>
      <c r="T61">
        <v>0</v>
      </c>
      <c r="U61" t="b">
        <v>0</v>
      </c>
      <c r="V61">
        <v>0</v>
      </c>
      <c r="W61">
        <v>0</v>
      </c>
    </row>
    <row r="62" spans="1:23">
      <c r="A62">
        <v>61</v>
      </c>
      <c r="B62" t="s">
        <v>43</v>
      </c>
      <c r="C62" t="s">
        <v>44</v>
      </c>
      <c r="D62">
        <v>1825</v>
      </c>
      <c r="E62">
        <v>270</v>
      </c>
      <c r="F62">
        <v>1825</v>
      </c>
      <c r="G62">
        <v>1006</v>
      </c>
      <c r="H62" s="1">
        <v>42234</v>
      </c>
      <c r="I62" t="s">
        <v>36</v>
      </c>
      <c r="J62">
        <v>61</v>
      </c>
      <c r="K62" t="s">
        <v>13</v>
      </c>
      <c r="L62" t="s">
        <v>13</v>
      </c>
      <c r="M62" t="s">
        <v>44</v>
      </c>
      <c r="N62" t="s">
        <v>66</v>
      </c>
      <c r="O62" t="s">
        <v>0</v>
      </c>
      <c r="P62" t="s">
        <v>0</v>
      </c>
      <c r="Q62" t="s">
        <v>11</v>
      </c>
      <c r="R62" t="s">
        <v>6</v>
      </c>
      <c r="S62" t="s">
        <v>46</v>
      </c>
      <c r="T62">
        <v>0</v>
      </c>
      <c r="U62" t="b">
        <v>0</v>
      </c>
      <c r="V62">
        <v>0</v>
      </c>
      <c r="W62">
        <v>0</v>
      </c>
    </row>
    <row r="63" spans="1:23">
      <c r="A63">
        <v>8</v>
      </c>
      <c r="B63" t="s">
        <v>34</v>
      </c>
      <c r="C63" t="s">
        <v>78</v>
      </c>
      <c r="D63">
        <v>686</v>
      </c>
      <c r="E63">
        <v>270</v>
      </c>
      <c r="F63">
        <v>686</v>
      </c>
      <c r="G63">
        <v>1051</v>
      </c>
      <c r="H63" s="1">
        <v>42279</v>
      </c>
      <c r="I63" t="s">
        <v>36</v>
      </c>
      <c r="J63">
        <v>62</v>
      </c>
      <c r="K63" t="s">
        <v>13</v>
      </c>
      <c r="L63" t="s">
        <v>13</v>
      </c>
      <c r="M63" t="s">
        <v>15</v>
      </c>
      <c r="N63" t="s">
        <v>51</v>
      </c>
      <c r="O63" t="s">
        <v>1</v>
      </c>
      <c r="P63" t="s">
        <v>1</v>
      </c>
      <c r="Q63" t="s">
        <v>12</v>
      </c>
      <c r="R63" t="s">
        <v>6</v>
      </c>
      <c r="S63" t="s">
        <v>39</v>
      </c>
      <c r="T63">
        <v>0</v>
      </c>
      <c r="U63" t="b">
        <v>0</v>
      </c>
      <c r="V63">
        <v>0</v>
      </c>
      <c r="W63">
        <v>1</v>
      </c>
    </row>
    <row r="64" spans="1:23">
      <c r="A64">
        <v>9</v>
      </c>
      <c r="B64" t="s">
        <v>34</v>
      </c>
      <c r="C64" t="s">
        <v>78</v>
      </c>
      <c r="D64">
        <v>555</v>
      </c>
      <c r="E64">
        <v>270</v>
      </c>
      <c r="F64">
        <v>555</v>
      </c>
      <c r="G64">
        <v>1051</v>
      </c>
      <c r="H64" s="1">
        <v>42279</v>
      </c>
      <c r="I64" t="s">
        <v>36</v>
      </c>
      <c r="J64">
        <v>63</v>
      </c>
      <c r="K64" t="s">
        <v>13</v>
      </c>
      <c r="L64" t="s">
        <v>13</v>
      </c>
      <c r="M64" t="s">
        <v>15</v>
      </c>
      <c r="N64" t="s">
        <v>48</v>
      </c>
      <c r="O64" t="s">
        <v>1</v>
      </c>
      <c r="P64" t="s">
        <v>1</v>
      </c>
      <c r="Q64" t="s">
        <v>12</v>
      </c>
      <c r="R64" t="s">
        <v>6</v>
      </c>
      <c r="S64" t="s">
        <v>39</v>
      </c>
      <c r="T64">
        <v>0</v>
      </c>
      <c r="U64" t="b">
        <v>0</v>
      </c>
      <c r="V64">
        <v>0</v>
      </c>
      <c r="W64">
        <v>1</v>
      </c>
    </row>
    <row r="65" spans="1:23">
      <c r="A65">
        <v>10</v>
      </c>
      <c r="B65" t="s">
        <v>34</v>
      </c>
      <c r="C65" t="s">
        <v>78</v>
      </c>
      <c r="D65">
        <v>467</v>
      </c>
      <c r="E65">
        <v>270</v>
      </c>
      <c r="F65">
        <v>467</v>
      </c>
      <c r="G65">
        <v>1051</v>
      </c>
      <c r="H65" s="1">
        <v>42279</v>
      </c>
      <c r="I65" t="s">
        <v>36</v>
      </c>
      <c r="J65">
        <v>64</v>
      </c>
      <c r="K65" t="s">
        <v>13</v>
      </c>
      <c r="L65" t="s">
        <v>13</v>
      </c>
      <c r="M65" t="s">
        <v>15</v>
      </c>
      <c r="N65" t="s">
        <v>76</v>
      </c>
      <c r="O65" t="s">
        <v>1</v>
      </c>
      <c r="P65" t="s">
        <v>1</v>
      </c>
      <c r="Q65" t="s">
        <v>12</v>
      </c>
      <c r="R65" t="s">
        <v>6</v>
      </c>
      <c r="S65" t="s">
        <v>39</v>
      </c>
      <c r="T65">
        <v>0</v>
      </c>
      <c r="U65" t="b">
        <v>0</v>
      </c>
      <c r="V65">
        <v>0</v>
      </c>
      <c r="W65">
        <v>1</v>
      </c>
    </row>
    <row r="66" spans="1:23">
      <c r="A66">
        <v>11</v>
      </c>
      <c r="B66" t="s">
        <v>69</v>
      </c>
      <c r="C66" t="s">
        <v>78</v>
      </c>
      <c r="D66">
        <v>1688</v>
      </c>
      <c r="E66">
        <v>270</v>
      </c>
      <c r="F66">
        <v>1688</v>
      </c>
      <c r="G66">
        <v>1051</v>
      </c>
      <c r="H66" s="1">
        <v>42279</v>
      </c>
      <c r="I66" t="s">
        <v>36</v>
      </c>
      <c r="J66">
        <v>65</v>
      </c>
      <c r="K66" t="s">
        <v>13</v>
      </c>
      <c r="L66" t="s">
        <v>13</v>
      </c>
      <c r="M66" t="s">
        <v>15</v>
      </c>
      <c r="N66" t="s">
        <v>63</v>
      </c>
      <c r="O66" t="s">
        <v>0</v>
      </c>
      <c r="P66" t="s">
        <v>0</v>
      </c>
      <c r="Q66" t="s">
        <v>11</v>
      </c>
      <c r="R66" t="s">
        <v>6</v>
      </c>
      <c r="S66" t="s">
        <v>39</v>
      </c>
      <c r="T66">
        <v>0</v>
      </c>
      <c r="U66" t="b">
        <v>0</v>
      </c>
      <c r="V66">
        <v>0</v>
      </c>
      <c r="W66">
        <v>1</v>
      </c>
    </row>
    <row r="67" spans="1:23">
      <c r="A67">
        <v>12</v>
      </c>
      <c r="B67" t="s">
        <v>69</v>
      </c>
      <c r="C67" t="s">
        <v>78</v>
      </c>
      <c r="D67">
        <v>1597</v>
      </c>
      <c r="E67">
        <v>270</v>
      </c>
      <c r="F67">
        <v>1597</v>
      </c>
      <c r="G67">
        <v>1051</v>
      </c>
      <c r="H67" s="1">
        <v>42279</v>
      </c>
      <c r="I67" t="s">
        <v>36</v>
      </c>
      <c r="J67">
        <v>66</v>
      </c>
      <c r="K67" t="s">
        <v>13</v>
      </c>
      <c r="L67" t="s">
        <v>13</v>
      </c>
      <c r="M67" t="s">
        <v>15</v>
      </c>
      <c r="N67" t="s">
        <v>62</v>
      </c>
      <c r="O67" t="s">
        <v>0</v>
      </c>
      <c r="P67" t="s">
        <v>0</v>
      </c>
      <c r="Q67" t="s">
        <v>11</v>
      </c>
      <c r="R67" t="s">
        <v>6</v>
      </c>
      <c r="S67" t="s">
        <v>39</v>
      </c>
      <c r="T67">
        <v>0</v>
      </c>
      <c r="U67" t="b">
        <v>0</v>
      </c>
      <c r="V67">
        <v>0</v>
      </c>
      <c r="W67">
        <v>1</v>
      </c>
    </row>
    <row r="68" spans="1:23">
      <c r="A68">
        <v>13</v>
      </c>
      <c r="B68" t="s">
        <v>34</v>
      </c>
      <c r="C68" t="s">
        <v>78</v>
      </c>
      <c r="D68">
        <v>394</v>
      </c>
      <c r="E68">
        <v>270</v>
      </c>
      <c r="F68">
        <v>394</v>
      </c>
      <c r="G68">
        <v>1051</v>
      </c>
      <c r="H68" s="1">
        <v>42279</v>
      </c>
      <c r="I68" t="s">
        <v>36</v>
      </c>
      <c r="J68">
        <v>67</v>
      </c>
      <c r="K68" t="s">
        <v>13</v>
      </c>
      <c r="L68" t="s">
        <v>13</v>
      </c>
      <c r="M68" t="s">
        <v>15</v>
      </c>
      <c r="N68" t="s">
        <v>75</v>
      </c>
      <c r="O68" t="s">
        <v>1</v>
      </c>
      <c r="P68" t="s">
        <v>1</v>
      </c>
      <c r="Q68" t="s">
        <v>12</v>
      </c>
      <c r="R68" t="s">
        <v>6</v>
      </c>
      <c r="S68" t="s">
        <v>39</v>
      </c>
      <c r="T68">
        <v>0</v>
      </c>
      <c r="U68" t="b">
        <v>0</v>
      </c>
      <c r="V68">
        <v>0</v>
      </c>
      <c r="W68">
        <v>1</v>
      </c>
    </row>
    <row r="69" spans="1:23">
      <c r="A69">
        <v>14</v>
      </c>
      <c r="B69" t="s">
        <v>69</v>
      </c>
      <c r="C69" t="s">
        <v>78</v>
      </c>
      <c r="D69">
        <v>1506</v>
      </c>
      <c r="E69">
        <v>270</v>
      </c>
      <c r="F69">
        <v>1506</v>
      </c>
      <c r="G69">
        <v>1051</v>
      </c>
      <c r="H69" s="1">
        <v>42279</v>
      </c>
      <c r="I69" t="s">
        <v>36</v>
      </c>
      <c r="J69">
        <v>68</v>
      </c>
      <c r="K69" t="s">
        <v>13</v>
      </c>
      <c r="L69" t="s">
        <v>13</v>
      </c>
      <c r="M69" t="s">
        <v>15</v>
      </c>
      <c r="N69" t="s">
        <v>61</v>
      </c>
      <c r="O69" t="s">
        <v>0</v>
      </c>
      <c r="P69" t="s">
        <v>0</v>
      </c>
      <c r="Q69" t="s">
        <v>11</v>
      </c>
      <c r="R69" t="s">
        <v>6</v>
      </c>
      <c r="S69" t="s">
        <v>39</v>
      </c>
      <c r="T69">
        <v>0</v>
      </c>
      <c r="U69" t="b">
        <v>0</v>
      </c>
      <c r="V69">
        <v>0</v>
      </c>
      <c r="W69">
        <v>1</v>
      </c>
    </row>
    <row r="70" spans="1:23">
      <c r="A70">
        <v>15</v>
      </c>
      <c r="B70" t="s">
        <v>65</v>
      </c>
      <c r="C70" t="s">
        <v>78</v>
      </c>
      <c r="D70">
        <v>1415</v>
      </c>
      <c r="E70">
        <v>270</v>
      </c>
      <c r="F70">
        <v>1415</v>
      </c>
      <c r="G70">
        <v>1051</v>
      </c>
      <c r="H70" s="1">
        <v>42279</v>
      </c>
      <c r="I70" t="s">
        <v>36</v>
      </c>
      <c r="J70">
        <v>69</v>
      </c>
      <c r="K70" t="s">
        <v>13</v>
      </c>
      <c r="L70" t="s">
        <v>13</v>
      </c>
      <c r="M70" t="s">
        <v>15</v>
      </c>
      <c r="N70" t="s">
        <v>60</v>
      </c>
      <c r="O70" t="s">
        <v>0</v>
      </c>
      <c r="P70" t="s">
        <v>0</v>
      </c>
      <c r="Q70" t="s">
        <v>11</v>
      </c>
      <c r="R70" t="s">
        <v>6</v>
      </c>
      <c r="S70" t="s">
        <v>39</v>
      </c>
      <c r="T70">
        <v>0</v>
      </c>
      <c r="U70" t="b">
        <v>0</v>
      </c>
      <c r="V70">
        <v>0</v>
      </c>
      <c r="W70">
        <v>1</v>
      </c>
    </row>
    <row r="71" spans="1:23">
      <c r="A71">
        <v>16</v>
      </c>
      <c r="B71" t="s">
        <v>65</v>
      </c>
      <c r="C71" t="s">
        <v>78</v>
      </c>
      <c r="D71">
        <v>1324</v>
      </c>
      <c r="E71">
        <v>270</v>
      </c>
      <c r="F71">
        <v>1324</v>
      </c>
      <c r="G71">
        <v>1051</v>
      </c>
      <c r="H71" s="1">
        <v>42279</v>
      </c>
      <c r="I71" t="s">
        <v>36</v>
      </c>
      <c r="J71">
        <v>70</v>
      </c>
      <c r="K71" t="s">
        <v>13</v>
      </c>
      <c r="L71" t="s">
        <v>13</v>
      </c>
      <c r="M71" t="s">
        <v>15</v>
      </c>
      <c r="N71" t="s">
        <v>58</v>
      </c>
      <c r="O71" t="s">
        <v>0</v>
      </c>
      <c r="P71" t="s">
        <v>0</v>
      </c>
      <c r="Q71" t="s">
        <v>11</v>
      </c>
      <c r="R71" t="s">
        <v>6</v>
      </c>
      <c r="S71" t="s">
        <v>39</v>
      </c>
      <c r="T71">
        <v>0</v>
      </c>
      <c r="U71" t="b">
        <v>0</v>
      </c>
      <c r="V71">
        <v>0</v>
      </c>
      <c r="W71">
        <v>1</v>
      </c>
    </row>
    <row r="72" spans="1:23">
      <c r="A72">
        <v>17</v>
      </c>
      <c r="B72" t="s">
        <v>65</v>
      </c>
      <c r="C72" t="s">
        <v>78</v>
      </c>
      <c r="D72">
        <v>1233</v>
      </c>
      <c r="E72">
        <v>270</v>
      </c>
      <c r="F72">
        <v>1233</v>
      </c>
      <c r="G72">
        <v>1051</v>
      </c>
      <c r="H72" s="1">
        <v>42279</v>
      </c>
      <c r="I72" t="s">
        <v>36</v>
      </c>
      <c r="J72">
        <v>71</v>
      </c>
      <c r="K72" t="s">
        <v>13</v>
      </c>
      <c r="L72" t="s">
        <v>13</v>
      </c>
      <c r="M72" t="s">
        <v>15</v>
      </c>
      <c r="N72" t="s">
        <v>57</v>
      </c>
      <c r="O72" t="s">
        <v>0</v>
      </c>
      <c r="P72" t="s">
        <v>0</v>
      </c>
      <c r="Q72" t="s">
        <v>11</v>
      </c>
      <c r="R72" t="s">
        <v>6</v>
      </c>
      <c r="S72" t="s">
        <v>39</v>
      </c>
      <c r="T72">
        <v>0</v>
      </c>
      <c r="U72" t="b">
        <v>0</v>
      </c>
      <c r="V72">
        <v>0</v>
      </c>
      <c r="W72">
        <v>1</v>
      </c>
    </row>
    <row r="73" spans="1:23">
      <c r="A73">
        <v>18</v>
      </c>
      <c r="B73" t="s">
        <v>79</v>
      </c>
      <c r="C73" t="s">
        <v>78</v>
      </c>
      <c r="D73">
        <v>330</v>
      </c>
      <c r="E73">
        <v>270</v>
      </c>
      <c r="F73">
        <v>330</v>
      </c>
      <c r="G73">
        <v>1051</v>
      </c>
      <c r="H73" s="1">
        <v>42279</v>
      </c>
      <c r="I73" t="s">
        <v>36</v>
      </c>
      <c r="J73">
        <v>72</v>
      </c>
      <c r="K73" t="s">
        <v>13</v>
      </c>
      <c r="L73" t="s">
        <v>13</v>
      </c>
      <c r="M73" t="s">
        <v>15</v>
      </c>
      <c r="N73" t="s">
        <v>77</v>
      </c>
      <c r="O73" t="s">
        <v>1</v>
      </c>
      <c r="P73" t="s">
        <v>1</v>
      </c>
      <c r="Q73" t="s">
        <v>12</v>
      </c>
      <c r="R73" t="s">
        <v>6</v>
      </c>
      <c r="S73" t="s">
        <v>39</v>
      </c>
      <c r="T73">
        <v>0</v>
      </c>
      <c r="U73" t="b">
        <v>0</v>
      </c>
      <c r="V73">
        <v>0</v>
      </c>
      <c r="W73">
        <v>1</v>
      </c>
    </row>
    <row r="74" spans="1:23">
      <c r="A74">
        <v>19</v>
      </c>
      <c r="B74" t="s">
        <v>79</v>
      </c>
      <c r="C74" t="s">
        <v>78</v>
      </c>
      <c r="D74">
        <v>230</v>
      </c>
      <c r="E74">
        <v>270</v>
      </c>
      <c r="F74">
        <v>230</v>
      </c>
      <c r="G74">
        <v>1051</v>
      </c>
      <c r="H74" s="1">
        <v>42279</v>
      </c>
      <c r="I74" t="s">
        <v>36</v>
      </c>
      <c r="J74">
        <v>73</v>
      </c>
      <c r="K74" t="s">
        <v>13</v>
      </c>
      <c r="L74" t="s">
        <v>13</v>
      </c>
      <c r="M74" t="s">
        <v>15</v>
      </c>
      <c r="N74" t="s">
        <v>38</v>
      </c>
      <c r="O74" t="s">
        <v>1</v>
      </c>
      <c r="P74" t="s">
        <v>1</v>
      </c>
      <c r="Q74" t="s">
        <v>12</v>
      </c>
      <c r="R74" t="s">
        <v>6</v>
      </c>
      <c r="S74" t="s">
        <v>39</v>
      </c>
      <c r="T74">
        <v>0</v>
      </c>
      <c r="U74" t="b">
        <v>0</v>
      </c>
      <c r="V74">
        <v>0</v>
      </c>
      <c r="W74">
        <v>1</v>
      </c>
    </row>
    <row r="75" spans="1:23">
      <c r="A75">
        <v>20</v>
      </c>
      <c r="B75" t="s">
        <v>79</v>
      </c>
      <c r="C75" t="s">
        <v>78</v>
      </c>
      <c r="D75">
        <v>182</v>
      </c>
      <c r="E75">
        <v>270</v>
      </c>
      <c r="F75">
        <v>182</v>
      </c>
      <c r="G75">
        <v>1058</v>
      </c>
      <c r="H75" s="1">
        <v>42286</v>
      </c>
      <c r="I75" t="s">
        <v>36</v>
      </c>
      <c r="J75">
        <v>74</v>
      </c>
      <c r="K75" t="s">
        <v>13</v>
      </c>
      <c r="L75" t="s">
        <v>13</v>
      </c>
      <c r="M75" t="s">
        <v>15</v>
      </c>
      <c r="N75" t="s">
        <v>40</v>
      </c>
      <c r="O75" t="s">
        <v>1</v>
      </c>
      <c r="P75" t="s">
        <v>1</v>
      </c>
      <c r="Q75" t="s">
        <v>12</v>
      </c>
      <c r="R75" t="s">
        <v>6</v>
      </c>
      <c r="S75" t="s">
        <v>39</v>
      </c>
      <c r="T75">
        <v>0</v>
      </c>
      <c r="U75" t="b">
        <v>0</v>
      </c>
      <c r="V75">
        <v>0</v>
      </c>
      <c r="W75">
        <v>1</v>
      </c>
    </row>
    <row r="76" spans="1:23">
      <c r="A76">
        <v>75</v>
      </c>
      <c r="B76" t="s">
        <v>43</v>
      </c>
      <c r="C76" t="s">
        <v>44</v>
      </c>
      <c r="D76">
        <v>1825</v>
      </c>
      <c r="E76">
        <v>270</v>
      </c>
      <c r="F76">
        <v>1825</v>
      </c>
      <c r="G76">
        <v>1097</v>
      </c>
      <c r="H76" s="1">
        <v>42325</v>
      </c>
      <c r="I76" t="s">
        <v>36</v>
      </c>
      <c r="J76">
        <v>75</v>
      </c>
      <c r="K76" t="s">
        <v>13</v>
      </c>
      <c r="L76" t="s">
        <v>13</v>
      </c>
      <c r="M76" t="s">
        <v>44</v>
      </c>
      <c r="N76" t="s">
        <v>64</v>
      </c>
      <c r="O76" t="s">
        <v>0</v>
      </c>
      <c r="P76" t="s">
        <v>0</v>
      </c>
      <c r="Q76" t="s">
        <v>11</v>
      </c>
      <c r="R76" t="s">
        <v>6</v>
      </c>
      <c r="S76" t="s">
        <v>46</v>
      </c>
      <c r="T76">
        <v>0</v>
      </c>
      <c r="U76" t="b">
        <v>0</v>
      </c>
      <c r="V76">
        <v>0</v>
      </c>
      <c r="W76">
        <v>0</v>
      </c>
    </row>
    <row r="77" spans="1:23">
      <c r="A77">
        <v>21</v>
      </c>
      <c r="B77" t="s">
        <v>65</v>
      </c>
      <c r="C77" t="s">
        <v>78</v>
      </c>
      <c r="D77">
        <v>1216</v>
      </c>
      <c r="E77">
        <v>270</v>
      </c>
      <c r="F77">
        <v>1216</v>
      </c>
      <c r="G77">
        <v>1125</v>
      </c>
      <c r="H77" s="1">
        <v>42353</v>
      </c>
      <c r="I77" t="s">
        <v>36</v>
      </c>
      <c r="J77">
        <v>76</v>
      </c>
      <c r="K77" t="s">
        <v>13</v>
      </c>
      <c r="L77" t="s">
        <v>13</v>
      </c>
      <c r="M77" t="s">
        <v>15</v>
      </c>
      <c r="N77" t="s">
        <v>56</v>
      </c>
      <c r="O77" t="s">
        <v>0</v>
      </c>
      <c r="P77" t="s">
        <v>0</v>
      </c>
      <c r="Q77" t="s">
        <v>11</v>
      </c>
      <c r="R77" t="s">
        <v>6</v>
      </c>
      <c r="S77" t="s">
        <v>39</v>
      </c>
      <c r="T77">
        <v>0</v>
      </c>
      <c r="U77" t="b">
        <v>0</v>
      </c>
      <c r="V77">
        <v>0</v>
      </c>
      <c r="W77">
        <v>1</v>
      </c>
    </row>
    <row r="78" spans="1:23">
      <c r="A78">
        <v>22</v>
      </c>
      <c r="B78" t="s">
        <v>79</v>
      </c>
      <c r="C78" t="s">
        <v>78</v>
      </c>
      <c r="D78">
        <v>182</v>
      </c>
      <c r="E78">
        <v>270</v>
      </c>
      <c r="F78">
        <v>182</v>
      </c>
      <c r="G78">
        <v>1128</v>
      </c>
      <c r="H78" s="1">
        <v>42356</v>
      </c>
      <c r="I78" t="s">
        <v>36</v>
      </c>
      <c r="J78">
        <v>77</v>
      </c>
      <c r="K78" t="s">
        <v>13</v>
      </c>
      <c r="L78" t="s">
        <v>13</v>
      </c>
      <c r="M78" t="s">
        <v>15</v>
      </c>
      <c r="N78" t="s">
        <v>74</v>
      </c>
      <c r="O78" t="s">
        <v>1</v>
      </c>
      <c r="P78" t="s">
        <v>1</v>
      </c>
      <c r="Q78" t="s">
        <v>12</v>
      </c>
      <c r="R78" t="s">
        <v>6</v>
      </c>
      <c r="S78" t="s">
        <v>39</v>
      </c>
      <c r="T78">
        <v>0</v>
      </c>
      <c r="U78" t="b">
        <v>0</v>
      </c>
      <c r="V78">
        <v>0</v>
      </c>
      <c r="W78">
        <v>1</v>
      </c>
    </row>
    <row r="79" spans="1:23">
      <c r="A79">
        <v>23</v>
      </c>
      <c r="B79" t="s">
        <v>79</v>
      </c>
      <c r="C79" t="s">
        <v>78</v>
      </c>
      <c r="D79">
        <v>182</v>
      </c>
      <c r="E79">
        <v>270</v>
      </c>
      <c r="F79">
        <v>182</v>
      </c>
      <c r="G79">
        <v>1183</v>
      </c>
      <c r="H79" s="1">
        <v>42411</v>
      </c>
      <c r="I79" t="s">
        <v>36</v>
      </c>
      <c r="J79">
        <v>78</v>
      </c>
      <c r="K79" t="s">
        <v>13</v>
      </c>
      <c r="L79" t="s">
        <v>13</v>
      </c>
      <c r="M79" t="s">
        <v>15</v>
      </c>
      <c r="N79" t="s">
        <v>42</v>
      </c>
      <c r="O79" t="s">
        <v>1</v>
      </c>
      <c r="P79" t="s">
        <v>1</v>
      </c>
      <c r="Q79" t="s">
        <v>12</v>
      </c>
      <c r="R79" t="s">
        <v>6</v>
      </c>
      <c r="S79" t="s">
        <v>39</v>
      </c>
      <c r="T79">
        <v>0</v>
      </c>
      <c r="U79" t="b">
        <v>0</v>
      </c>
      <c r="V79">
        <v>0</v>
      </c>
      <c r="W79">
        <v>1</v>
      </c>
    </row>
    <row r="80" spans="1:23">
      <c r="A80">
        <v>24</v>
      </c>
      <c r="B80" t="s">
        <v>65</v>
      </c>
      <c r="C80" t="s">
        <v>78</v>
      </c>
      <c r="D80">
        <v>1216</v>
      </c>
      <c r="E80">
        <v>270</v>
      </c>
      <c r="F80">
        <v>1216</v>
      </c>
      <c r="G80">
        <v>1216</v>
      </c>
      <c r="H80" s="1">
        <v>42444</v>
      </c>
      <c r="I80" t="s">
        <v>36</v>
      </c>
      <c r="J80">
        <v>79</v>
      </c>
      <c r="K80" t="s">
        <v>13</v>
      </c>
      <c r="L80" t="s">
        <v>13</v>
      </c>
      <c r="M80" t="s">
        <v>15</v>
      </c>
      <c r="N80" t="s">
        <v>55</v>
      </c>
      <c r="O80" t="s">
        <v>0</v>
      </c>
      <c r="P80" t="s">
        <v>0</v>
      </c>
      <c r="Q80" t="s">
        <v>11</v>
      </c>
      <c r="R80" t="s">
        <v>6</v>
      </c>
      <c r="S80" t="s">
        <v>39</v>
      </c>
      <c r="T80">
        <v>0</v>
      </c>
      <c r="U80" t="b">
        <v>0</v>
      </c>
      <c r="V80">
        <v>0</v>
      </c>
      <c r="W80">
        <v>1</v>
      </c>
    </row>
    <row r="81" spans="1:23">
      <c r="A81">
        <v>25</v>
      </c>
      <c r="B81" t="s">
        <v>65</v>
      </c>
      <c r="C81" t="s">
        <v>78</v>
      </c>
      <c r="D81">
        <v>1216</v>
      </c>
      <c r="E81">
        <v>270</v>
      </c>
      <c r="F81">
        <v>1216</v>
      </c>
      <c r="G81">
        <v>1312</v>
      </c>
      <c r="H81" s="1">
        <v>42540</v>
      </c>
      <c r="I81" t="s">
        <v>36</v>
      </c>
      <c r="J81">
        <v>80</v>
      </c>
      <c r="K81" t="s">
        <v>13</v>
      </c>
      <c r="L81" t="s">
        <v>13</v>
      </c>
      <c r="M81" t="s">
        <v>15</v>
      </c>
      <c r="N81" t="s">
        <v>45</v>
      </c>
      <c r="O81" t="s">
        <v>0</v>
      </c>
      <c r="P81" t="s">
        <v>0</v>
      </c>
      <c r="Q81" t="s">
        <v>11</v>
      </c>
      <c r="R81" t="s">
        <v>6</v>
      </c>
      <c r="S81" t="s">
        <v>39</v>
      </c>
      <c r="T81">
        <v>0</v>
      </c>
      <c r="U81" t="b">
        <v>0</v>
      </c>
      <c r="V81">
        <v>0</v>
      </c>
      <c r="W81">
        <v>1</v>
      </c>
    </row>
    <row r="82" spans="1:23">
      <c r="A82">
        <v>26</v>
      </c>
      <c r="B82" t="s">
        <v>65</v>
      </c>
      <c r="C82" t="s">
        <v>41</v>
      </c>
      <c r="D82">
        <v>1236</v>
      </c>
      <c r="E82">
        <v>252</v>
      </c>
      <c r="F82">
        <v>1254</v>
      </c>
      <c r="G82">
        <v>1350</v>
      </c>
      <c r="H82" s="1">
        <v>42578</v>
      </c>
      <c r="I82" t="s">
        <v>36</v>
      </c>
      <c r="J82">
        <v>81</v>
      </c>
      <c r="K82" t="s">
        <v>13</v>
      </c>
      <c r="L82" t="s">
        <v>13</v>
      </c>
      <c r="M82" t="s">
        <v>37</v>
      </c>
      <c r="N82" t="s">
        <v>45</v>
      </c>
      <c r="O82" t="s">
        <v>0</v>
      </c>
      <c r="P82" t="s">
        <v>0</v>
      </c>
      <c r="Q82" t="s">
        <v>11</v>
      </c>
      <c r="R82" t="s">
        <v>6</v>
      </c>
      <c r="S82" t="s">
        <v>39</v>
      </c>
      <c r="T82">
        <v>0</v>
      </c>
      <c r="U82" t="b">
        <v>0</v>
      </c>
      <c r="V82">
        <v>0</v>
      </c>
      <c r="W82">
        <v>2</v>
      </c>
    </row>
    <row r="83" spans="1:23">
      <c r="A83">
        <v>27</v>
      </c>
      <c r="B83" t="s">
        <v>34</v>
      </c>
      <c r="C83" t="s">
        <v>41</v>
      </c>
      <c r="D83">
        <v>479</v>
      </c>
      <c r="E83">
        <v>270</v>
      </c>
      <c r="F83">
        <v>479</v>
      </c>
      <c r="G83">
        <v>1800</v>
      </c>
      <c r="H83" s="1">
        <v>43028</v>
      </c>
      <c r="I83" t="s">
        <v>36</v>
      </c>
      <c r="J83">
        <v>82</v>
      </c>
      <c r="K83" t="s">
        <v>13</v>
      </c>
      <c r="L83" t="s">
        <v>13</v>
      </c>
      <c r="M83" t="s">
        <v>37</v>
      </c>
      <c r="N83" t="s">
        <v>75</v>
      </c>
      <c r="O83" t="s">
        <v>1</v>
      </c>
      <c r="P83" t="s">
        <v>1</v>
      </c>
      <c r="Q83" t="s">
        <v>12</v>
      </c>
      <c r="R83" t="s">
        <v>6</v>
      </c>
      <c r="S83" t="s">
        <v>39</v>
      </c>
      <c r="T83">
        <v>0</v>
      </c>
      <c r="U83" t="b">
        <v>0</v>
      </c>
      <c r="V83">
        <v>0</v>
      </c>
      <c r="W83">
        <v>1</v>
      </c>
    </row>
    <row r="84" spans="1:23">
      <c r="A84">
        <v>83</v>
      </c>
      <c r="B84" t="s">
        <v>50</v>
      </c>
      <c r="C84" t="s">
        <v>44</v>
      </c>
      <c r="D84">
        <v>730</v>
      </c>
      <c r="E84">
        <v>270</v>
      </c>
      <c r="F84">
        <v>730</v>
      </c>
      <c r="G84">
        <v>1901</v>
      </c>
      <c r="H84" s="1">
        <v>43129</v>
      </c>
      <c r="I84" t="s">
        <v>36</v>
      </c>
      <c r="J84">
        <v>83</v>
      </c>
      <c r="K84" t="s">
        <v>13</v>
      </c>
      <c r="L84" t="s">
        <v>13</v>
      </c>
      <c r="M84" t="s">
        <v>44</v>
      </c>
      <c r="N84" t="s">
        <v>53</v>
      </c>
      <c r="O84" t="s">
        <v>1</v>
      </c>
      <c r="P84" t="s">
        <v>1</v>
      </c>
      <c r="Q84" t="s">
        <v>12</v>
      </c>
      <c r="R84" t="s">
        <v>6</v>
      </c>
      <c r="S84" t="s">
        <v>46</v>
      </c>
      <c r="T84">
        <v>0</v>
      </c>
      <c r="U84" t="b">
        <v>0</v>
      </c>
      <c r="V84">
        <v>0</v>
      </c>
      <c r="W84">
        <v>0</v>
      </c>
    </row>
    <row r="85" spans="1:23">
      <c r="A85">
        <v>84</v>
      </c>
      <c r="B85" t="s">
        <v>43</v>
      </c>
      <c r="C85" t="s">
        <v>44</v>
      </c>
      <c r="D85">
        <v>1825</v>
      </c>
      <c r="E85">
        <v>270</v>
      </c>
      <c r="F85">
        <v>1825</v>
      </c>
      <c r="G85">
        <v>2012</v>
      </c>
      <c r="H85" s="1">
        <v>43240</v>
      </c>
      <c r="I85" t="s">
        <v>36</v>
      </c>
      <c r="J85">
        <v>84</v>
      </c>
      <c r="K85" t="s">
        <v>13</v>
      </c>
      <c r="L85" t="s">
        <v>13</v>
      </c>
      <c r="M85" t="s">
        <v>44</v>
      </c>
      <c r="N85" t="s">
        <v>47</v>
      </c>
      <c r="O85" t="s">
        <v>0</v>
      </c>
      <c r="P85" t="s">
        <v>0</v>
      </c>
      <c r="Q85" t="s">
        <v>11</v>
      </c>
      <c r="R85" t="s">
        <v>6</v>
      </c>
      <c r="S85" t="s">
        <v>46</v>
      </c>
      <c r="T85">
        <v>0</v>
      </c>
      <c r="U85" t="b">
        <v>0</v>
      </c>
      <c r="V85">
        <v>0</v>
      </c>
      <c r="W85">
        <v>0</v>
      </c>
    </row>
    <row r="86" spans="1:23">
      <c r="A86">
        <v>28</v>
      </c>
      <c r="B86" t="s">
        <v>34</v>
      </c>
      <c r="C86" t="s">
        <v>41</v>
      </c>
      <c r="D86">
        <v>704</v>
      </c>
      <c r="E86">
        <v>270</v>
      </c>
      <c r="F86">
        <v>704</v>
      </c>
      <c r="G86">
        <v>2025</v>
      </c>
      <c r="H86" s="1">
        <v>43253</v>
      </c>
      <c r="I86" t="s">
        <v>36</v>
      </c>
      <c r="J86">
        <v>85</v>
      </c>
      <c r="K86" t="s">
        <v>13</v>
      </c>
      <c r="L86" t="s">
        <v>13</v>
      </c>
      <c r="M86" t="s">
        <v>37</v>
      </c>
      <c r="N86" t="s">
        <v>38</v>
      </c>
      <c r="O86" t="s">
        <v>1</v>
      </c>
      <c r="P86" t="s">
        <v>1</v>
      </c>
      <c r="Q86" t="s">
        <v>12</v>
      </c>
      <c r="R86" t="s">
        <v>6</v>
      </c>
      <c r="S86" t="s">
        <v>39</v>
      </c>
      <c r="T86">
        <v>0</v>
      </c>
      <c r="U86" t="b">
        <v>0</v>
      </c>
      <c r="V86">
        <v>0</v>
      </c>
      <c r="W86">
        <v>1</v>
      </c>
    </row>
    <row r="87" spans="1:23">
      <c r="A87">
        <v>86</v>
      </c>
      <c r="B87" t="s">
        <v>50</v>
      </c>
      <c r="C87" t="s">
        <v>44</v>
      </c>
      <c r="D87">
        <v>730</v>
      </c>
      <c r="E87">
        <v>270</v>
      </c>
      <c r="F87">
        <v>730</v>
      </c>
      <c r="G87">
        <v>2051</v>
      </c>
      <c r="H87" s="1">
        <v>43279</v>
      </c>
      <c r="I87" t="s">
        <v>36</v>
      </c>
      <c r="J87">
        <v>86</v>
      </c>
      <c r="K87" t="s">
        <v>13</v>
      </c>
      <c r="L87" t="s">
        <v>13</v>
      </c>
      <c r="M87" t="s">
        <v>44</v>
      </c>
      <c r="N87" t="s">
        <v>51</v>
      </c>
      <c r="O87" t="s">
        <v>1</v>
      </c>
      <c r="P87" t="s">
        <v>1</v>
      </c>
      <c r="Q87" t="s">
        <v>12</v>
      </c>
      <c r="R87" t="s">
        <v>6</v>
      </c>
      <c r="S87" t="s">
        <v>46</v>
      </c>
      <c r="T87">
        <v>0</v>
      </c>
      <c r="U87" t="b">
        <v>0</v>
      </c>
      <c r="V87">
        <v>0</v>
      </c>
      <c r="W87">
        <v>0</v>
      </c>
    </row>
    <row r="88" spans="1:23">
      <c r="A88">
        <v>87</v>
      </c>
      <c r="B88" t="s">
        <v>50</v>
      </c>
      <c r="C88" t="s">
        <v>44</v>
      </c>
      <c r="D88">
        <v>730</v>
      </c>
      <c r="E88">
        <v>270</v>
      </c>
      <c r="F88">
        <v>730</v>
      </c>
      <c r="G88">
        <v>2051</v>
      </c>
      <c r="H88" s="1">
        <v>43279</v>
      </c>
      <c r="I88" t="s">
        <v>36</v>
      </c>
      <c r="J88">
        <v>87</v>
      </c>
      <c r="K88" t="s">
        <v>13</v>
      </c>
      <c r="L88" t="s">
        <v>13</v>
      </c>
      <c r="M88" t="s">
        <v>44</v>
      </c>
      <c r="N88" t="s">
        <v>48</v>
      </c>
      <c r="O88" t="s">
        <v>1</v>
      </c>
      <c r="P88" t="s">
        <v>1</v>
      </c>
      <c r="Q88" t="s">
        <v>12</v>
      </c>
      <c r="R88" t="s">
        <v>6</v>
      </c>
      <c r="S88" t="s">
        <v>46</v>
      </c>
      <c r="T88">
        <v>0</v>
      </c>
      <c r="U88" t="b">
        <v>0</v>
      </c>
      <c r="V88">
        <v>0</v>
      </c>
      <c r="W88">
        <v>0</v>
      </c>
    </row>
    <row r="89" spans="1:23">
      <c r="A89">
        <v>88</v>
      </c>
      <c r="B89" t="s">
        <v>50</v>
      </c>
      <c r="C89" t="s">
        <v>44</v>
      </c>
      <c r="D89">
        <v>730</v>
      </c>
      <c r="E89">
        <v>270</v>
      </c>
      <c r="F89">
        <v>730</v>
      </c>
      <c r="G89">
        <v>2051</v>
      </c>
      <c r="H89" s="1">
        <v>43279</v>
      </c>
      <c r="I89" t="s">
        <v>36</v>
      </c>
      <c r="J89">
        <v>88</v>
      </c>
      <c r="K89" t="s">
        <v>13</v>
      </c>
      <c r="L89" t="s">
        <v>13</v>
      </c>
      <c r="M89" t="s">
        <v>44</v>
      </c>
      <c r="N89" t="s">
        <v>76</v>
      </c>
      <c r="O89" t="s">
        <v>1</v>
      </c>
      <c r="P89" t="s">
        <v>1</v>
      </c>
      <c r="Q89" t="s">
        <v>12</v>
      </c>
      <c r="R89" t="s">
        <v>6</v>
      </c>
      <c r="S89" t="s">
        <v>46</v>
      </c>
      <c r="T89">
        <v>0</v>
      </c>
      <c r="U89" t="b">
        <v>0</v>
      </c>
      <c r="V89">
        <v>0</v>
      </c>
      <c r="W89">
        <v>0</v>
      </c>
    </row>
    <row r="90" spans="1:23">
      <c r="A90">
        <v>89</v>
      </c>
      <c r="B90" t="s">
        <v>50</v>
      </c>
      <c r="C90" t="s">
        <v>44</v>
      </c>
      <c r="D90">
        <v>730</v>
      </c>
      <c r="E90">
        <v>270</v>
      </c>
      <c r="F90">
        <v>730</v>
      </c>
      <c r="G90">
        <v>2051</v>
      </c>
      <c r="H90" s="1">
        <v>43279</v>
      </c>
      <c r="I90" t="s">
        <v>36</v>
      </c>
      <c r="J90">
        <v>89</v>
      </c>
      <c r="K90" t="s">
        <v>13</v>
      </c>
      <c r="L90" t="s">
        <v>13</v>
      </c>
      <c r="M90" t="s">
        <v>44</v>
      </c>
      <c r="N90" t="s">
        <v>77</v>
      </c>
      <c r="O90" t="s">
        <v>1</v>
      </c>
      <c r="P90" t="s">
        <v>1</v>
      </c>
      <c r="Q90" t="s">
        <v>12</v>
      </c>
      <c r="R90" t="s">
        <v>6</v>
      </c>
      <c r="S90" t="s">
        <v>46</v>
      </c>
      <c r="T90">
        <v>0</v>
      </c>
      <c r="U90" t="b">
        <v>0</v>
      </c>
      <c r="V90">
        <v>0</v>
      </c>
      <c r="W90">
        <v>0</v>
      </c>
    </row>
    <row r="91" spans="1:23">
      <c r="A91">
        <v>90</v>
      </c>
      <c r="B91" t="s">
        <v>50</v>
      </c>
      <c r="C91" t="s">
        <v>44</v>
      </c>
      <c r="D91">
        <v>730</v>
      </c>
      <c r="E91">
        <v>270</v>
      </c>
      <c r="F91">
        <v>730</v>
      </c>
      <c r="G91">
        <v>2058</v>
      </c>
      <c r="H91" s="1">
        <v>43286</v>
      </c>
      <c r="I91" t="s">
        <v>36</v>
      </c>
      <c r="J91">
        <v>90</v>
      </c>
      <c r="K91" t="s">
        <v>13</v>
      </c>
      <c r="L91" t="s">
        <v>13</v>
      </c>
      <c r="M91" t="s">
        <v>44</v>
      </c>
      <c r="N91" t="s">
        <v>40</v>
      </c>
      <c r="O91" t="s">
        <v>1</v>
      </c>
      <c r="P91" t="s">
        <v>1</v>
      </c>
      <c r="Q91" t="s">
        <v>12</v>
      </c>
      <c r="R91" t="s">
        <v>6</v>
      </c>
      <c r="S91" t="s">
        <v>46</v>
      </c>
      <c r="T91">
        <v>0</v>
      </c>
      <c r="U91" t="b">
        <v>0</v>
      </c>
      <c r="V91">
        <v>0</v>
      </c>
      <c r="W91">
        <v>0</v>
      </c>
    </row>
    <row r="92" spans="1:23">
      <c r="A92">
        <v>91</v>
      </c>
      <c r="B92" t="s">
        <v>43</v>
      </c>
      <c r="C92" t="s">
        <v>44</v>
      </c>
      <c r="D92">
        <v>1825</v>
      </c>
      <c r="E92">
        <v>270</v>
      </c>
      <c r="F92">
        <v>1825</v>
      </c>
      <c r="G92">
        <v>2103</v>
      </c>
      <c r="H92" s="1">
        <v>43331</v>
      </c>
      <c r="I92" t="s">
        <v>36</v>
      </c>
      <c r="J92">
        <v>91</v>
      </c>
      <c r="K92" t="s">
        <v>13</v>
      </c>
      <c r="L92" t="s">
        <v>13</v>
      </c>
      <c r="M92" t="s">
        <v>44</v>
      </c>
      <c r="N92" t="s">
        <v>49</v>
      </c>
      <c r="O92" t="s">
        <v>0</v>
      </c>
      <c r="P92" t="s">
        <v>0</v>
      </c>
      <c r="Q92" t="s">
        <v>11</v>
      </c>
      <c r="R92" t="s">
        <v>6</v>
      </c>
      <c r="S92" t="s">
        <v>46</v>
      </c>
      <c r="T92">
        <v>0</v>
      </c>
      <c r="U92" t="b">
        <v>0</v>
      </c>
      <c r="V92">
        <v>0</v>
      </c>
      <c r="W92">
        <v>0</v>
      </c>
    </row>
    <row r="93" spans="1:23">
      <c r="A93">
        <v>92</v>
      </c>
      <c r="B93" t="s">
        <v>43</v>
      </c>
      <c r="C93" t="s">
        <v>44</v>
      </c>
      <c r="D93">
        <v>1825</v>
      </c>
      <c r="E93">
        <v>270</v>
      </c>
      <c r="F93">
        <v>1825</v>
      </c>
      <c r="G93">
        <v>2194</v>
      </c>
      <c r="H93" s="1">
        <v>43422</v>
      </c>
      <c r="I93" t="s">
        <v>36</v>
      </c>
      <c r="J93">
        <v>92</v>
      </c>
      <c r="K93" t="s">
        <v>13</v>
      </c>
      <c r="L93" t="s">
        <v>13</v>
      </c>
      <c r="M93" t="s">
        <v>44</v>
      </c>
      <c r="N93" t="s">
        <v>52</v>
      </c>
      <c r="O93" t="s">
        <v>0</v>
      </c>
      <c r="P93" t="s">
        <v>0</v>
      </c>
      <c r="Q93" t="s">
        <v>11</v>
      </c>
      <c r="R93" t="s">
        <v>6</v>
      </c>
      <c r="S93" t="s">
        <v>46</v>
      </c>
      <c r="T93">
        <v>0</v>
      </c>
      <c r="U93" t="b">
        <v>0</v>
      </c>
      <c r="V93">
        <v>0</v>
      </c>
      <c r="W93">
        <v>0</v>
      </c>
    </row>
    <row r="94" spans="1:23">
      <c r="A94">
        <v>29</v>
      </c>
      <c r="B94" t="s">
        <v>34</v>
      </c>
      <c r="C94" t="s">
        <v>41</v>
      </c>
      <c r="D94">
        <v>574</v>
      </c>
      <c r="E94">
        <v>270</v>
      </c>
      <c r="F94">
        <v>574</v>
      </c>
      <c r="G94">
        <v>2250</v>
      </c>
      <c r="H94" s="1">
        <v>43478</v>
      </c>
      <c r="I94" t="s">
        <v>36</v>
      </c>
      <c r="J94">
        <v>93</v>
      </c>
      <c r="K94" t="s">
        <v>13</v>
      </c>
      <c r="L94" t="s">
        <v>13</v>
      </c>
      <c r="M94" t="s">
        <v>37</v>
      </c>
      <c r="N94" t="s">
        <v>74</v>
      </c>
      <c r="O94" t="s">
        <v>1</v>
      </c>
      <c r="P94" t="s">
        <v>1</v>
      </c>
      <c r="Q94" t="s">
        <v>12</v>
      </c>
      <c r="R94" t="s">
        <v>6</v>
      </c>
      <c r="S94" t="s">
        <v>39</v>
      </c>
      <c r="T94">
        <v>0</v>
      </c>
      <c r="U94" t="b">
        <v>0</v>
      </c>
      <c r="V94">
        <v>0</v>
      </c>
      <c r="W94">
        <v>1</v>
      </c>
    </row>
    <row r="95" spans="1:23">
      <c r="A95">
        <v>94</v>
      </c>
      <c r="B95" t="s">
        <v>43</v>
      </c>
      <c r="C95" t="s">
        <v>44</v>
      </c>
      <c r="D95">
        <v>1825</v>
      </c>
      <c r="E95">
        <v>270</v>
      </c>
      <c r="F95">
        <v>1825</v>
      </c>
      <c r="G95">
        <v>2285</v>
      </c>
      <c r="H95" s="1">
        <v>43513</v>
      </c>
      <c r="I95" t="s">
        <v>36</v>
      </c>
      <c r="J95">
        <v>94</v>
      </c>
      <c r="K95" t="s">
        <v>13</v>
      </c>
      <c r="L95" t="s">
        <v>13</v>
      </c>
      <c r="M95" t="s">
        <v>44</v>
      </c>
      <c r="N95" t="s">
        <v>73</v>
      </c>
      <c r="O95" t="s">
        <v>0</v>
      </c>
      <c r="P95" t="s">
        <v>0</v>
      </c>
      <c r="Q95" t="s">
        <v>11</v>
      </c>
      <c r="R95" t="s">
        <v>6</v>
      </c>
      <c r="S95" t="s">
        <v>46</v>
      </c>
      <c r="T95">
        <v>0</v>
      </c>
      <c r="U95" t="b">
        <v>0</v>
      </c>
      <c r="V95">
        <v>0</v>
      </c>
      <c r="W95">
        <v>0</v>
      </c>
    </row>
    <row r="96" spans="1:23">
      <c r="A96">
        <v>95</v>
      </c>
      <c r="B96" t="s">
        <v>43</v>
      </c>
      <c r="C96" t="s">
        <v>44</v>
      </c>
      <c r="D96">
        <v>1825</v>
      </c>
      <c r="E96">
        <v>270</v>
      </c>
      <c r="F96">
        <v>1825</v>
      </c>
      <c r="G96">
        <v>2376</v>
      </c>
      <c r="H96" s="1">
        <v>43604</v>
      </c>
      <c r="I96" t="s">
        <v>36</v>
      </c>
      <c r="J96">
        <v>95</v>
      </c>
      <c r="K96" t="s">
        <v>13</v>
      </c>
      <c r="L96" t="s">
        <v>13</v>
      </c>
      <c r="M96" t="s">
        <v>44</v>
      </c>
      <c r="N96" t="s">
        <v>72</v>
      </c>
      <c r="O96" t="s">
        <v>0</v>
      </c>
      <c r="P96" t="s">
        <v>0</v>
      </c>
      <c r="Q96" t="s">
        <v>11</v>
      </c>
      <c r="R96" t="s">
        <v>6</v>
      </c>
      <c r="S96" t="s">
        <v>46</v>
      </c>
      <c r="T96">
        <v>0</v>
      </c>
      <c r="U96" t="b">
        <v>0</v>
      </c>
      <c r="V96">
        <v>0</v>
      </c>
      <c r="W96">
        <v>0</v>
      </c>
    </row>
    <row r="97" spans="1:23">
      <c r="A97">
        <v>96</v>
      </c>
      <c r="B97" t="s">
        <v>50</v>
      </c>
      <c r="C97" t="s">
        <v>44</v>
      </c>
      <c r="D97">
        <v>730</v>
      </c>
      <c r="E97">
        <v>270</v>
      </c>
      <c r="F97">
        <v>730</v>
      </c>
      <c r="G97">
        <v>2461</v>
      </c>
      <c r="H97" s="1">
        <v>43689</v>
      </c>
      <c r="I97" t="s">
        <v>36</v>
      </c>
      <c r="J97">
        <v>96</v>
      </c>
      <c r="K97" t="s">
        <v>13</v>
      </c>
      <c r="L97" t="s">
        <v>13</v>
      </c>
      <c r="M97" t="s">
        <v>44</v>
      </c>
      <c r="N97" t="s">
        <v>42</v>
      </c>
      <c r="O97" t="s">
        <v>1</v>
      </c>
      <c r="P97" t="s">
        <v>1</v>
      </c>
      <c r="Q97" t="s">
        <v>12</v>
      </c>
      <c r="R97" t="s">
        <v>6</v>
      </c>
      <c r="S97" t="s">
        <v>46</v>
      </c>
      <c r="T97">
        <v>0</v>
      </c>
      <c r="U97" t="b">
        <v>0</v>
      </c>
      <c r="V97">
        <v>0</v>
      </c>
      <c r="W97">
        <v>0</v>
      </c>
    </row>
    <row r="98" spans="1:23">
      <c r="A98">
        <v>97</v>
      </c>
      <c r="B98" t="s">
        <v>43</v>
      </c>
      <c r="C98" t="s">
        <v>44</v>
      </c>
      <c r="D98">
        <v>1825</v>
      </c>
      <c r="E98">
        <v>270</v>
      </c>
      <c r="F98">
        <v>1825</v>
      </c>
      <c r="G98">
        <v>2467</v>
      </c>
      <c r="H98" s="1">
        <v>43695</v>
      </c>
      <c r="I98" t="s">
        <v>36</v>
      </c>
      <c r="J98">
        <v>97</v>
      </c>
      <c r="K98" t="s">
        <v>13</v>
      </c>
      <c r="L98" t="s">
        <v>13</v>
      </c>
      <c r="M98" t="s">
        <v>44</v>
      </c>
      <c r="N98" t="s">
        <v>71</v>
      </c>
      <c r="O98" t="s">
        <v>0</v>
      </c>
      <c r="P98" t="s">
        <v>0</v>
      </c>
      <c r="Q98" t="s">
        <v>11</v>
      </c>
      <c r="R98" t="s">
        <v>6</v>
      </c>
      <c r="S98" t="s">
        <v>46</v>
      </c>
      <c r="T98">
        <v>0</v>
      </c>
      <c r="U98" t="b">
        <v>0</v>
      </c>
      <c r="V98">
        <v>0</v>
      </c>
      <c r="W98">
        <v>0</v>
      </c>
    </row>
    <row r="99" spans="1:23">
      <c r="A99">
        <v>30</v>
      </c>
      <c r="B99" t="s">
        <v>34</v>
      </c>
      <c r="C99" t="s">
        <v>41</v>
      </c>
      <c r="D99">
        <v>424</v>
      </c>
      <c r="E99">
        <v>270</v>
      </c>
      <c r="F99">
        <v>424</v>
      </c>
      <c r="G99">
        <v>2475</v>
      </c>
      <c r="H99" s="1">
        <v>43703</v>
      </c>
      <c r="I99" t="s">
        <v>36</v>
      </c>
      <c r="J99">
        <v>98</v>
      </c>
      <c r="K99" t="s">
        <v>13</v>
      </c>
      <c r="L99" t="s">
        <v>13</v>
      </c>
      <c r="M99" t="s">
        <v>37</v>
      </c>
      <c r="N99" t="s">
        <v>76</v>
      </c>
      <c r="O99" t="s">
        <v>1</v>
      </c>
      <c r="P99" t="s">
        <v>1</v>
      </c>
      <c r="Q99" t="s">
        <v>12</v>
      </c>
      <c r="R99" t="s">
        <v>6</v>
      </c>
      <c r="S99" t="s">
        <v>39</v>
      </c>
      <c r="T99">
        <v>0</v>
      </c>
      <c r="U99" t="b">
        <v>0</v>
      </c>
      <c r="V99">
        <v>0</v>
      </c>
      <c r="W99">
        <v>1</v>
      </c>
    </row>
    <row r="100" spans="1:23">
      <c r="A100">
        <v>99</v>
      </c>
      <c r="B100" t="s">
        <v>69</v>
      </c>
      <c r="C100" t="s">
        <v>44</v>
      </c>
      <c r="D100">
        <v>1635</v>
      </c>
      <c r="E100">
        <v>270</v>
      </c>
      <c r="F100">
        <v>1635</v>
      </c>
      <c r="G100">
        <v>2550</v>
      </c>
      <c r="H100" s="1">
        <v>43778</v>
      </c>
      <c r="I100" t="s">
        <v>36</v>
      </c>
      <c r="J100">
        <v>99</v>
      </c>
      <c r="K100" t="s">
        <v>13</v>
      </c>
      <c r="L100" t="s">
        <v>13</v>
      </c>
      <c r="M100" t="s">
        <v>44</v>
      </c>
      <c r="N100" t="s">
        <v>67</v>
      </c>
      <c r="O100" t="s">
        <v>0</v>
      </c>
      <c r="P100" t="s">
        <v>0</v>
      </c>
      <c r="Q100" t="s">
        <v>11</v>
      </c>
      <c r="R100" t="s">
        <v>6</v>
      </c>
      <c r="S100" t="s">
        <v>46</v>
      </c>
      <c r="T100">
        <v>0</v>
      </c>
      <c r="U100" t="b">
        <v>0</v>
      </c>
      <c r="V100">
        <v>0</v>
      </c>
      <c r="W100">
        <v>0</v>
      </c>
    </row>
    <row r="101" spans="1:23">
      <c r="A101">
        <v>100</v>
      </c>
      <c r="B101" t="s">
        <v>69</v>
      </c>
      <c r="C101" t="s">
        <v>44</v>
      </c>
      <c r="D101">
        <v>1726</v>
      </c>
      <c r="E101">
        <v>270</v>
      </c>
      <c r="F101">
        <v>1726</v>
      </c>
      <c r="G101">
        <v>2550</v>
      </c>
      <c r="H101" s="1">
        <v>43778</v>
      </c>
      <c r="I101" t="s">
        <v>36</v>
      </c>
      <c r="J101">
        <v>100</v>
      </c>
      <c r="K101" t="s">
        <v>13</v>
      </c>
      <c r="L101" t="s">
        <v>13</v>
      </c>
      <c r="M101" t="s">
        <v>44</v>
      </c>
      <c r="N101" t="s">
        <v>68</v>
      </c>
      <c r="O101" t="s">
        <v>0</v>
      </c>
      <c r="P101" t="s">
        <v>0</v>
      </c>
      <c r="Q101" t="s">
        <v>11</v>
      </c>
      <c r="R101" t="s">
        <v>6</v>
      </c>
      <c r="S101" t="s">
        <v>46</v>
      </c>
      <c r="T101">
        <v>0</v>
      </c>
      <c r="U101" t="b">
        <v>0</v>
      </c>
      <c r="V101">
        <v>0</v>
      </c>
      <c r="W101">
        <v>0</v>
      </c>
    </row>
    <row r="102" spans="1:23">
      <c r="A102">
        <v>101</v>
      </c>
      <c r="B102" t="s">
        <v>43</v>
      </c>
      <c r="C102" t="s">
        <v>44</v>
      </c>
      <c r="D102">
        <v>1817</v>
      </c>
      <c r="E102">
        <v>270</v>
      </c>
      <c r="F102">
        <v>1817</v>
      </c>
      <c r="G102">
        <v>2550</v>
      </c>
      <c r="H102" s="1">
        <v>43778</v>
      </c>
      <c r="I102" t="s">
        <v>36</v>
      </c>
      <c r="J102">
        <v>101</v>
      </c>
      <c r="K102" t="s">
        <v>13</v>
      </c>
      <c r="L102" t="s">
        <v>13</v>
      </c>
      <c r="M102" t="s">
        <v>44</v>
      </c>
      <c r="N102" t="s">
        <v>70</v>
      </c>
      <c r="O102" t="s">
        <v>0</v>
      </c>
      <c r="P102" t="s">
        <v>0</v>
      </c>
      <c r="Q102" t="s">
        <v>11</v>
      </c>
      <c r="R102" t="s">
        <v>6</v>
      </c>
      <c r="S102" t="s">
        <v>46</v>
      </c>
      <c r="T102">
        <v>0</v>
      </c>
      <c r="U102" t="b">
        <v>0</v>
      </c>
      <c r="V102">
        <v>0</v>
      </c>
      <c r="W10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6"/>
  <dimension ref="A1:D11"/>
  <sheetViews>
    <sheetView workbookViewId="0"/>
  </sheetViews>
  <sheetFormatPr defaultRowHeight="15"/>
  <sheetData>
    <row r="1" spans="1:4">
      <c r="A1" t="s">
        <v>2</v>
      </c>
      <c r="B1" t="s">
        <v>8</v>
      </c>
      <c r="C1" t="s">
        <v>7</v>
      </c>
      <c r="D1" t="s">
        <v>17</v>
      </c>
    </row>
    <row r="2" spans="1:4">
      <c r="A2" t="s">
        <v>4</v>
      </c>
      <c r="B2" t="s">
        <v>12</v>
      </c>
      <c r="C2" t="s">
        <v>13</v>
      </c>
      <c r="D2">
        <v>3.303030252456665</v>
      </c>
    </row>
    <row r="3" spans="1:4">
      <c r="A3" t="s">
        <v>4</v>
      </c>
      <c r="B3" t="s">
        <v>11</v>
      </c>
      <c r="C3" t="s">
        <v>13</v>
      </c>
      <c r="D3">
        <v>5</v>
      </c>
    </row>
    <row r="4" spans="1:4">
      <c r="A4" t="s">
        <v>5</v>
      </c>
      <c r="B4" t="s">
        <v>12</v>
      </c>
      <c r="C4" t="s">
        <v>13</v>
      </c>
      <c r="D4">
        <v>2.6084656715393066</v>
      </c>
    </row>
    <row r="5" spans="1:4">
      <c r="A5" t="s">
        <v>5</v>
      </c>
      <c r="B5" t="s">
        <v>11</v>
      </c>
      <c r="C5" t="s">
        <v>13</v>
      </c>
      <c r="D5">
        <v>5</v>
      </c>
    </row>
    <row r="6" spans="1:4">
      <c r="A6" t="s">
        <v>6</v>
      </c>
      <c r="B6" t="s">
        <v>12</v>
      </c>
      <c r="C6" t="s">
        <v>13</v>
      </c>
      <c r="D6">
        <v>2.1929183006286621</v>
      </c>
    </row>
    <row r="7" spans="1:4">
      <c r="A7" t="s">
        <v>6</v>
      </c>
      <c r="B7" t="s">
        <v>11</v>
      </c>
      <c r="C7" t="s">
        <v>13</v>
      </c>
      <c r="D7">
        <v>5.6174578666687012</v>
      </c>
    </row>
    <row r="8" spans="1:4">
      <c r="A8" t="s">
        <v>80</v>
      </c>
      <c r="B8" t="s">
        <v>12</v>
      </c>
      <c r="C8" t="s">
        <v>13</v>
      </c>
      <c r="D8">
        <v>0</v>
      </c>
    </row>
    <row r="9" spans="1:4">
      <c r="A9" t="s">
        <v>80</v>
      </c>
      <c r="B9" t="s">
        <v>11</v>
      </c>
      <c r="C9" t="s">
        <v>13</v>
      </c>
      <c r="D9">
        <v>0</v>
      </c>
    </row>
    <row r="10" spans="1:4">
      <c r="A10" t="s">
        <v>81</v>
      </c>
      <c r="B10" t="s">
        <v>12</v>
      </c>
      <c r="C10" t="s">
        <v>13</v>
      </c>
      <c r="D10">
        <v>2.418351411819458</v>
      </c>
    </row>
    <row r="11" spans="1:4">
      <c r="A11" t="s">
        <v>81</v>
      </c>
      <c r="B11" t="s">
        <v>11</v>
      </c>
      <c r="C11" t="s">
        <v>13</v>
      </c>
      <c r="D11">
        <v>5.3560657501220703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5"/>
  <dimension ref="A1:D11"/>
  <sheetViews>
    <sheetView workbookViewId="0"/>
  </sheetViews>
  <sheetFormatPr defaultRowHeight="15"/>
  <sheetData>
    <row r="1" spans="1:4">
      <c r="A1" t="s">
        <v>2</v>
      </c>
      <c r="B1" t="s">
        <v>8</v>
      </c>
      <c r="C1" t="s">
        <v>7</v>
      </c>
      <c r="D1" t="s">
        <v>17</v>
      </c>
    </row>
    <row r="2" spans="1:4">
      <c r="A2" t="s">
        <v>4</v>
      </c>
      <c r="B2" t="s">
        <v>12</v>
      </c>
      <c r="C2" t="s">
        <v>13</v>
      </c>
      <c r="D2">
        <v>1.703703761100769</v>
      </c>
    </row>
    <row r="3" spans="1:4">
      <c r="A3" t="s">
        <v>4</v>
      </c>
      <c r="B3" t="s">
        <v>11</v>
      </c>
      <c r="C3" t="s">
        <v>13</v>
      </c>
      <c r="D3">
        <v>4</v>
      </c>
    </row>
    <row r="4" spans="1:4">
      <c r="A4" t="s">
        <v>5</v>
      </c>
      <c r="B4" t="s">
        <v>12</v>
      </c>
      <c r="C4" t="s">
        <v>13</v>
      </c>
      <c r="D4">
        <v>1.703703761100769</v>
      </c>
    </row>
    <row r="5" spans="1:4">
      <c r="A5" t="s">
        <v>5</v>
      </c>
      <c r="B5" t="s">
        <v>11</v>
      </c>
      <c r="C5" t="s">
        <v>13</v>
      </c>
      <c r="D5">
        <v>4</v>
      </c>
    </row>
    <row r="6" spans="1:4">
      <c r="A6" t="s">
        <v>6</v>
      </c>
      <c r="B6" t="s">
        <v>12</v>
      </c>
      <c r="C6" t="s">
        <v>13</v>
      </c>
      <c r="D6">
        <v>1.5795414447784424</v>
      </c>
    </row>
    <row r="7" spans="1:4">
      <c r="A7" t="s">
        <v>6</v>
      </c>
      <c r="B7" t="s">
        <v>11</v>
      </c>
      <c r="C7" t="s">
        <v>13</v>
      </c>
      <c r="D7">
        <v>3.7758350372314453</v>
      </c>
    </row>
    <row r="8" spans="1:4">
      <c r="A8" t="s">
        <v>80</v>
      </c>
      <c r="B8" t="s">
        <v>12</v>
      </c>
      <c r="C8" t="s">
        <v>13</v>
      </c>
      <c r="D8">
        <v>0</v>
      </c>
    </row>
    <row r="9" spans="1:4">
      <c r="A9" t="s">
        <v>80</v>
      </c>
      <c r="B9" t="s">
        <v>11</v>
      </c>
      <c r="C9" t="s">
        <v>13</v>
      </c>
      <c r="D9">
        <v>0</v>
      </c>
    </row>
    <row r="10" spans="1:4">
      <c r="A10" t="s">
        <v>81</v>
      </c>
      <c r="B10" t="s">
        <v>12</v>
      </c>
      <c r="C10" t="s">
        <v>13</v>
      </c>
      <c r="D10">
        <v>1.624691367149353</v>
      </c>
    </row>
    <row r="11" spans="1:4">
      <c r="A11" t="s">
        <v>81</v>
      </c>
      <c r="B11" t="s">
        <v>11</v>
      </c>
      <c r="C11" t="s">
        <v>13</v>
      </c>
      <c r="D11">
        <v>3.8571996688842773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5"/>
  <sheetViews>
    <sheetView tabSelected="1" workbookViewId="0">
      <selection activeCell="D18" sqref="D18"/>
    </sheetView>
  </sheetViews>
  <sheetFormatPr defaultRowHeight="15"/>
  <cols>
    <col min="3" max="3" width="37.7109375" bestFit="1" customWidth="1"/>
    <col min="4" max="4" width="25.28515625" bestFit="1" customWidth="1"/>
    <col min="5" max="5" width="24.85546875" bestFit="1" customWidth="1"/>
    <col min="6" max="6" width="30.5703125" bestFit="1" customWidth="1"/>
    <col min="7" max="7" width="28.28515625" bestFit="1" customWidth="1"/>
  </cols>
  <sheetData>
    <row r="1" spans="1:7">
      <c r="A1" t="s">
        <v>87</v>
      </c>
      <c r="C1" t="s">
        <v>85</v>
      </c>
      <c r="D1" t="s">
        <v>86</v>
      </c>
      <c r="E1" t="s">
        <v>83</v>
      </c>
      <c r="F1" t="s">
        <v>82</v>
      </c>
      <c r="G1" t="s">
        <v>84</v>
      </c>
    </row>
    <row r="2" spans="1:7">
      <c r="A2">
        <v>1</v>
      </c>
      <c r="C2">
        <f>lispfunc(C$1,A2)</f>
        <v>2</v>
      </c>
      <c r="D2" t="b">
        <f>lispfunc(D$1,A2)</f>
        <v>0</v>
      </c>
      <c r="E2">
        <f>lispfunc(E1, A2:A5)</f>
        <v>2</v>
      </c>
      <c r="F2">
        <f>lispfunc(F1,C2:C5)</f>
        <v>70</v>
      </c>
      <c r="G2">
        <f>lispfunc(G1,A2:A5)</f>
        <v>0</v>
      </c>
    </row>
    <row r="3" spans="1:7">
      <c r="A3">
        <v>2</v>
      </c>
      <c r="C3">
        <f t="shared" ref="C3:C5" si="0">lispfunc($C$1,A3)</f>
        <v>3</v>
      </c>
      <c r="D3" t="b">
        <f>lispfunc(D$1,A3)</f>
        <v>0</v>
      </c>
    </row>
    <row r="4" spans="1:7">
      <c r="A4">
        <v>55</v>
      </c>
      <c r="C4">
        <f t="shared" si="0"/>
        <v>56</v>
      </c>
      <c r="D4" t="b">
        <f>lispfunc(D$1,A4)</f>
        <v>1</v>
      </c>
    </row>
    <row r="5" spans="1:7">
      <c r="A5">
        <v>4</v>
      </c>
      <c r="C5">
        <f t="shared" si="0"/>
        <v>5</v>
      </c>
      <c r="D5" t="b">
        <f>lispfunc(D$1,A5)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Deployments</vt:lpstr>
      <vt:lpstr>EmpiricalSummary</vt:lpstr>
      <vt:lpstr>NominalSummary</vt:lpstr>
      <vt:lpstr>SporkLisp</vt:lpstr>
    </vt:vector>
  </TitlesOfParts>
  <Company>U.S. Army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Spoon, Thomas Mr.</dc:creator>
  <cp:lastModifiedBy>tom</cp:lastModifiedBy>
  <dcterms:created xsi:type="dcterms:W3CDTF">2012-11-16T18:45:04Z</dcterms:created>
  <dcterms:modified xsi:type="dcterms:W3CDTF">2013-06-06T09:03:28Z</dcterms:modified>
</cp:coreProperties>
</file>